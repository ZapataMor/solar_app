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71020C7-4140-4647-8061-D59C9F9DB6F8}" xr6:coauthVersionLast="47" xr6:coauthVersionMax="47" xr10:uidLastSave="{00000000-0000-0000-0000-000000000000}"/>
  <bookViews>
    <workbookView xWindow="-28920" yWindow="-990" windowWidth="29040" windowHeight="15720" tabRatio="741" activeTab="1" xr2:uid="{00000000-000D-0000-FFFF-FFFF00000000}"/>
  </bookViews>
  <sheets>
    <sheet name="Portada" sheetId="1" r:id="rId1"/>
    <sheet name="Inputs" sheetId="2" r:id="rId2"/>
    <sheet name="Cargas" sheetId="9" r:id="rId3"/>
    <sheet name="Consumo" sheetId="3" r:id="rId4"/>
    <sheet name="Calculos" sheetId="4" r:id="rId5"/>
    <sheet name="Recurso" sheetId="5" r:id="rId6"/>
    <sheet name="Protecciones" sheetId="6" r:id="rId7"/>
    <sheet name="Conductores" sheetId="7" r:id="rId8"/>
    <sheet name="Resumen" sheetId="8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" i="4" l="1"/>
  <c r="H23" i="9"/>
  <c r="F23" i="9"/>
  <c r="H22" i="9"/>
  <c r="F22" i="9"/>
  <c r="H21" i="9"/>
  <c r="F21" i="9"/>
  <c r="H20" i="9"/>
  <c r="F20" i="9"/>
  <c r="H19" i="9"/>
  <c r="F19" i="9"/>
  <c r="H18" i="9"/>
  <c r="F18" i="9"/>
  <c r="H17" i="9"/>
  <c r="F17" i="9"/>
  <c r="H16" i="9"/>
  <c r="F16" i="9"/>
  <c r="H15" i="9"/>
  <c r="F15" i="9"/>
  <c r="H14" i="9"/>
  <c r="F14" i="9"/>
  <c r="H13" i="9"/>
  <c r="F13" i="9"/>
  <c r="H12" i="9"/>
  <c r="F12" i="9"/>
  <c r="H11" i="9"/>
  <c r="F11" i="9"/>
  <c r="H10" i="9"/>
  <c r="F10" i="9"/>
  <c r="H9" i="9"/>
  <c r="F9" i="9"/>
  <c r="L8" i="9"/>
  <c r="H8" i="9"/>
  <c r="F8" i="9"/>
  <c r="L7" i="9"/>
  <c r="H7" i="9"/>
  <c r="F7" i="9"/>
  <c r="L6" i="9"/>
  <c r="H6" i="9"/>
  <c r="F6" i="9"/>
  <c r="L5" i="9"/>
  <c r="L9" i="9" s="1"/>
  <c r="H5" i="9"/>
  <c r="F5" i="9"/>
  <c r="H4" i="9"/>
  <c r="F4" i="9"/>
  <c r="D9" i="4" l="1"/>
  <c r="C10" i="8" s="1"/>
  <c r="G7" i="3"/>
  <c r="G6" i="3"/>
  <c r="C6" i="8"/>
  <c r="G5" i="3"/>
  <c r="G8" i="3" s="1"/>
  <c r="G9" i="3" s="1"/>
  <c r="E4" i="7"/>
  <c r="E5" i="7"/>
  <c r="E7" i="7"/>
  <c r="E6" i="7"/>
  <c r="C13" i="8"/>
  <c r="D7" i="7"/>
  <c r="D6" i="7"/>
  <c r="C11" i="6"/>
  <c r="F7" i="5"/>
  <c r="F6" i="5"/>
  <c r="F5" i="5"/>
  <c r="D22" i="4"/>
  <c r="D19" i="4"/>
  <c r="C4" i="7" s="1"/>
  <c r="D14" i="4"/>
  <c r="D13" i="4"/>
  <c r="D6" i="4"/>
  <c r="C7" i="7" l="1"/>
  <c r="F7" i="7" s="1"/>
  <c r="C6" i="7"/>
  <c r="F6" i="7" s="1"/>
  <c r="C9" i="6"/>
  <c r="C8" i="6"/>
  <c r="C19" i="8" s="1"/>
  <c r="C4" i="6"/>
  <c r="D18" i="4"/>
  <c r="I8" i="4" s="1"/>
  <c r="J8" i="4" s="1"/>
  <c r="D16" i="4"/>
  <c r="D17" i="4"/>
  <c r="I7" i="4" s="1"/>
  <c r="J7" i="4" s="1"/>
  <c r="D15" i="4"/>
  <c r="C5" i="8"/>
  <c r="D5" i="4"/>
  <c r="D5" i="7" l="1"/>
  <c r="C16" i="8"/>
  <c r="I6" i="4"/>
  <c r="J6" i="4" s="1"/>
  <c r="D4" i="7"/>
  <c r="F4" i="7" s="1"/>
  <c r="C7" i="6"/>
  <c r="C18" i="8" s="1"/>
  <c r="C15" i="8"/>
  <c r="I5" i="4"/>
  <c r="J5" i="4" s="1"/>
  <c r="C7" i="8"/>
  <c r="C8" i="8" l="1"/>
  <c r="D7" i="4"/>
  <c r="D8" i="4" s="1"/>
  <c r="D10" i="4" l="1"/>
  <c r="C9" i="8"/>
  <c r="D20" i="4" l="1"/>
  <c r="D11" i="4"/>
  <c r="D12" i="4" s="1"/>
  <c r="C11" i="8"/>
  <c r="C5" i="7" l="1"/>
  <c r="F5" i="7" s="1"/>
  <c r="C6" i="6"/>
  <c r="C5" i="6"/>
  <c r="D21" i="4"/>
  <c r="C12" i="8"/>
  <c r="D23" i="4"/>
  <c r="C17" i="8" l="1"/>
  <c r="I9" i="4"/>
  <c r="J9" i="4" s="1"/>
  <c r="C14" i="8"/>
  <c r="I10" i="4"/>
  <c r="J10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Andres David</author>
  </authors>
  <commentList>
    <comment ref="G10" authorId="0" shapeId="0" xr:uid="{B466E02B-6A88-4AE4-B3A1-76FF52BFBD85}">
      <text>
        <r>
          <rPr>
            <b/>
            <sz val="9"/>
            <color indexed="81"/>
            <rFont val="Tahoma"/>
            <family val="2"/>
          </rPr>
          <t>Andres David:</t>
        </r>
        <r>
          <rPr>
            <sz val="9"/>
            <color indexed="81"/>
            <rFont val="Tahoma"/>
            <family val="2"/>
          </rPr>
          <t xml:space="preserve">
Coeficiente de temperatura de Voc en valor absoluto. Ej.: 0.0028 /°C.</t>
        </r>
      </text>
    </comment>
    <comment ref="B11" authorId="0" shapeId="0" xr:uid="{8900F4E1-5FB6-4D4B-A79D-7CCD29720191}">
      <text>
        <r>
          <rPr>
            <b/>
            <sz val="9"/>
            <color indexed="81"/>
            <rFont val="Tahoma"/>
            <family val="2"/>
          </rPr>
          <t>Andres David:</t>
        </r>
        <r>
          <rPr>
            <sz val="9"/>
            <color indexed="81"/>
            <rFont val="Tahoma"/>
            <family val="2"/>
          </rPr>
          <t xml:space="preserve">
Temperatura mínima de diseño para verificar Voc del string.</t>
        </r>
      </text>
    </comment>
    <comment ref="G21" authorId="0" shapeId="0" xr:uid="{338DCABB-CE2D-4A90-9410-77C8F2D9FAF5}">
      <text>
        <r>
          <rPr>
            <b/>
            <sz val="9"/>
            <color indexed="81"/>
            <rFont val="Tahoma"/>
            <family val="2"/>
          </rPr>
          <t>Andres David:</t>
        </r>
        <r>
          <rPr>
            <sz val="9"/>
            <color indexed="81"/>
            <rFont val="Tahoma"/>
            <family val="2"/>
          </rPr>
          <t xml:space="preserve">
Número de módulos en serie adoptados. Ajuste hasta cumplir todas las verificaciones en la hoja Cálculos.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Andres David</author>
  </authors>
  <commentList>
    <comment ref="C7" authorId="0" shapeId="0" xr:uid="{A59AFA61-939C-4653-A9E0-EFD89372E4A0}">
      <text>
        <r>
          <rPr>
            <b/>
            <sz val="9"/>
            <color indexed="81"/>
            <rFont val="Tahoma"/>
            <family val="2"/>
          </rPr>
          <t>Andres David:</t>
        </r>
        <r>
          <rPr>
            <sz val="9"/>
            <color indexed="81"/>
            <rFont val="Tahoma"/>
            <family val="2"/>
          </rPr>
          <t xml:space="preserve">
Uc de SPD DC recomendado con criterio académico: 1.2 × Voc del string a Tmin.</t>
        </r>
      </text>
    </comment>
  </commentList>
</comments>
</file>

<file path=xl/sharedStrings.xml><?xml version="1.0" encoding="utf-8"?>
<sst xmlns="http://schemas.openxmlformats.org/spreadsheetml/2006/main" count="573" uniqueCount="274">
  <si>
    <t>Esta hoja calcula automáticamente el sistema fotovoltaico conectado a red: demanda, potencia FV, número de módulos, strings por temperatura, selección preliminar del inversor, protecciones DC/AC, SPD, conductores y resumen ejecutivo.</t>
  </si>
  <si>
    <t>Uso</t>
  </si>
  <si>
    <t>Entradas</t>
  </si>
  <si>
    <t>Celdas amarillas con texto azul</t>
  </si>
  <si>
    <t>Resultados</t>
  </si>
  <si>
    <t>Celdas verdes</t>
  </si>
  <si>
    <t>Advertencias</t>
  </si>
  <si>
    <t>Celdas naranjas/rojas</t>
  </si>
  <si>
    <t>Metodología</t>
  </si>
  <si>
    <t>Diseño académico con verificaciones térmicas y eléctricas</t>
  </si>
  <si>
    <t>Flujo sugerido:
1) diligenciar Inputs
2) cargar consumos mensuales
3) revisar datos del módulo e inversor
4) verificar strings por temperatura
5) revisar protecciones DC/AC y SPD
6) validar conductores
7) revisar Resumen final.</t>
  </si>
  <si>
    <t>DATOS DE ENTRADA DEL PROYECTO ON-GRID</t>
  </si>
  <si>
    <t>Parámetro</t>
  </si>
  <si>
    <t>Valor</t>
  </si>
  <si>
    <t>Unidad</t>
  </si>
  <si>
    <t>Observación</t>
  </si>
  <si>
    <t>MÓDULO FV E INVERSOR</t>
  </si>
  <si>
    <t>Nombre del proyecto</t>
  </si>
  <si>
    <t>Caso docente ON-GRID</t>
  </si>
  <si>
    <t>-</t>
  </si>
  <si>
    <t>Editable</t>
  </si>
  <si>
    <t>Variable</t>
  </si>
  <si>
    <t>Comentario</t>
  </si>
  <si>
    <t>Ubicación</t>
  </si>
  <si>
    <t>La Guajira</t>
  </si>
  <si>
    <t>Potencia módulo Pmpp</t>
  </si>
  <si>
    <t>W</t>
  </si>
  <si>
    <t>Tipo de usuario</t>
  </si>
  <si>
    <t>Vmpp módulo</t>
  </si>
  <si>
    <t>V</t>
  </si>
  <si>
    <t>Tensión red AC</t>
  </si>
  <si>
    <t>Vac</t>
  </si>
  <si>
    <t>Monofásico o fase-fase</t>
  </si>
  <si>
    <t>Voc módulo</t>
  </si>
  <si>
    <t>Factor de potencia asumido</t>
  </si>
  <si>
    <t>Impp módulo</t>
  </si>
  <si>
    <t>A</t>
  </si>
  <si>
    <t>Compensación objetivo</t>
  </si>
  <si>
    <t>fracción</t>
  </si>
  <si>
    <t>0.80 = 80%</t>
  </si>
  <si>
    <t>Isc módulo</t>
  </si>
  <si>
    <t>Performance Ratio (PR)</t>
  </si>
  <si>
    <t>βVoc (magnitud)</t>
  </si>
  <si>
    <t>1/°C</t>
  </si>
  <si>
    <t>Usar valor absoluto</t>
  </si>
  <si>
    <t>Temperatura mínima sitio</t>
  </si>
  <si>
    <t>°C</t>
  </si>
  <si>
    <t>Para verificación Voc</t>
  </si>
  <si>
    <t>βVmpp (magnitud)</t>
  </si>
  <si>
    <t>Temperatura máxima sitio</t>
  </si>
  <si>
    <t>Para verificación Vmpp</t>
  </si>
  <si>
    <t>Potencia inversor AC</t>
  </si>
  <si>
    <t>kW</t>
  </si>
  <si>
    <t>Rango MPPT mínimo</t>
  </si>
  <si>
    <t>Rango MPPT máximo</t>
  </si>
  <si>
    <t>CRITERIOS ELÉCTRICOS</t>
  </si>
  <si>
    <t>N° de MPPT</t>
  </si>
  <si>
    <t>unid</t>
  </si>
  <si>
    <t>Caída de tensión máx. DC</t>
  </si>
  <si>
    <t>2%</t>
  </si>
  <si>
    <t>Corriente máx. por MPPT</t>
  </si>
  <si>
    <t>Caída de tensión máx. AC</t>
  </si>
  <si>
    <t>3%</t>
  </si>
  <si>
    <t>Factor protección DC</t>
  </si>
  <si>
    <t>I_prot ≥ 1.25 I</t>
  </si>
  <si>
    <t>ARREGLO ADOPTADO</t>
  </si>
  <si>
    <t>Factor protección AC</t>
  </si>
  <si>
    <t>I_breaker ≥ 1.25 Iac</t>
  </si>
  <si>
    <t>Factor SPD DC</t>
  </si>
  <si>
    <t>Uc ≥ 1.2 Voc_string</t>
  </si>
  <si>
    <t>Módulos en serie adoptados</t>
  </si>
  <si>
    <t>Editable; verificar en hoja Cálculos</t>
  </si>
  <si>
    <t>Factor SPD AC</t>
  </si>
  <si>
    <t>Uc ≥ 1.1 Vac</t>
  </si>
  <si>
    <t>Notas: esta plantilla usa un criterio didáctico. Las verificaciones normativas definitivas deben contrastarse con IEC/NEC y la regulación local. Las celdas amarillas son entradas del usuario.</t>
  </si>
  <si>
    <t>CONSUMO ELÉCTRICO DEL USUARIO</t>
  </si>
  <si>
    <t>Mes</t>
  </si>
  <si>
    <t>Consumo (kWh)</t>
  </si>
  <si>
    <t>Demanda pico (kW)</t>
  </si>
  <si>
    <t>RESUMEN</t>
  </si>
  <si>
    <t>Enero</t>
  </si>
  <si>
    <t/>
  </si>
  <si>
    <t>Indicador</t>
  </si>
  <si>
    <t>Febrero</t>
  </si>
  <si>
    <t>Consumo anual</t>
  </si>
  <si>
    <t>kWh/año</t>
  </si>
  <si>
    <t>Marzo</t>
  </si>
  <si>
    <t>Consumo promedio mensual</t>
  </si>
  <si>
    <t>kWh/mes</t>
  </si>
  <si>
    <t>Abril</t>
  </si>
  <si>
    <t>Consumo diario promedio</t>
  </si>
  <si>
    <t>kWh/día</t>
  </si>
  <si>
    <t>Mayo</t>
  </si>
  <si>
    <t>Energía objetivo anual</t>
  </si>
  <si>
    <t>Junio</t>
  </si>
  <si>
    <t>Energía objetivo diaria</t>
  </si>
  <si>
    <t>Julio</t>
  </si>
  <si>
    <t>Agosto</t>
  </si>
  <si>
    <t>Septiembre</t>
  </si>
  <si>
    <t>Octubre</t>
  </si>
  <si>
    <t>Noviembre</t>
  </si>
  <si>
    <t>Diciembre</t>
  </si>
  <si>
    <t>CÁLCULOS AUTOMÁTICOS DEL SISTEMA ON-GRID</t>
  </si>
  <si>
    <t>Paso</t>
  </si>
  <si>
    <t>Fórmula / criterio</t>
  </si>
  <si>
    <t>Resultado</t>
  </si>
  <si>
    <t>VERIFICACIONES</t>
  </si>
  <si>
    <t>Potencia FV requerida</t>
  </si>
  <si>
    <t>E_obj,d / (HSP·PR)</t>
  </si>
  <si>
    <t>Verificación</t>
  </si>
  <si>
    <t>Criterio</t>
  </si>
  <si>
    <t>Estado</t>
  </si>
  <si>
    <t>Potencia FV requerida usando HSP promedio</t>
  </si>
  <si>
    <t>E_obj,d / (HSP_prom·PR)</t>
  </si>
  <si>
    <t>Voc string vs Vdc max</t>
  </si>
  <si>
    <t>D15 &lt;= Inputs!G15</t>
  </si>
  <si>
    <t>Potencia módulo</t>
  </si>
  <si>
    <t>Dato de entrada</t>
  </si>
  <si>
    <t>Vmpp string dentro MPPT</t>
  </si>
  <si>
    <t>AND(D16&gt;=Inputs!G13,D16&lt;=Inputs!G14)</t>
  </si>
  <si>
    <t>Módulos teóricos</t>
  </si>
  <si>
    <t>P_FV/P_mod</t>
  </si>
  <si>
    <t>mód</t>
  </si>
  <si>
    <t>Ns adoptado ≤ máximo</t>
  </si>
  <si>
    <t>D9 &lt;= D17</t>
  </si>
  <si>
    <t>Módulos totales adoptados</t>
  </si>
  <si>
    <t>Redondeo superior</t>
  </si>
  <si>
    <t>Ns adoptado ≥ mínimo</t>
  </si>
  <si>
    <t>D9 &gt;= D18</t>
  </si>
  <si>
    <t>Corriente por MPPT admisible</t>
  </si>
  <si>
    <t>D21 &lt;= Inputs!G17</t>
  </si>
  <si>
    <t>Strings en paralelo</t>
  </si>
  <si>
    <t>strings</t>
  </si>
  <si>
    <t>Relación DC/AC razonable</t>
  </si>
  <si>
    <t>AND(D23&gt;=1.0,D23&lt;=1.3)</t>
  </si>
  <si>
    <t>Módulos instalados reales</t>
  </si>
  <si>
    <t>Ns*Np</t>
  </si>
  <si>
    <t>Potencia DC instalada</t>
  </si>
  <si>
    <t>Mód_inst*Pmod</t>
  </si>
  <si>
    <t>kWp</t>
  </si>
  <si>
    <t>Voc módulo a Tmin</t>
  </si>
  <si>
    <t>Voc*[1+βVoc(25-Tmin)]</t>
  </si>
  <si>
    <t>Vmpp módulo a Tmax</t>
  </si>
  <si>
    <t>Vmpp*[1-βVmpp(Tmax-25)]</t>
  </si>
  <si>
    <t>Voc del string a Tmin</t>
  </si>
  <si>
    <t>Voc_Tmin*Ns</t>
  </si>
  <si>
    <t>Vmpp del string a Tmax</t>
  </si>
  <si>
    <t>Vmpp_Tmax*Ns</t>
  </si>
  <si>
    <t>Máx. módulos en serie por Voc</t>
  </si>
  <si>
    <t>FLOOR(Vdcmax/Voc_Tmin)</t>
  </si>
  <si>
    <t>Mín. módulos en serie por MPPT</t>
  </si>
  <si>
    <t>CEILING(Vmppt_min/Vmpp_Tmax)</t>
  </si>
  <si>
    <t>Corriente string Isc</t>
  </si>
  <si>
    <t>Corriente total DC (strings)</t>
  </si>
  <si>
    <t>Isc*Np</t>
  </si>
  <si>
    <t>Corriente por MPPT</t>
  </si>
  <si>
    <t>Si strings repartidos en MPPT</t>
  </si>
  <si>
    <t>Corriente AC del inversor</t>
  </si>
  <si>
    <t>P/(V*fp)</t>
  </si>
  <si>
    <t>Relación DC/AC</t>
  </si>
  <si>
    <t>Pdc/Pac</t>
  </si>
  <si>
    <t>RECURSO SOLAR</t>
  </si>
  <si>
    <t>HSP (h/día)</t>
  </si>
  <si>
    <t>Fuente / observación</t>
  </si>
  <si>
    <t>HSP mínima</t>
  </si>
  <si>
    <t>h/día</t>
  </si>
  <si>
    <t>HSP promedio</t>
  </si>
  <si>
    <t>HSP máxima</t>
  </si>
  <si>
    <t>PROTECCIONES DC / AC Y SPD</t>
  </si>
  <si>
    <t>Elemento</t>
  </si>
  <si>
    <t>Selección</t>
  </si>
  <si>
    <t>TABLA DIDÁCTICA IEC / NEC</t>
  </si>
  <si>
    <t>Fusible / breaker por string DC</t>
  </si>
  <si>
    <t>1.25 * Isc string</t>
  </si>
  <si>
    <t>IEC/NEC</t>
  </si>
  <si>
    <t>Protección</t>
  </si>
  <si>
    <t>Lado</t>
  </si>
  <si>
    <t>Referencia</t>
  </si>
  <si>
    <t>Nota</t>
  </si>
  <si>
    <t>Breaker DC general</t>
  </si>
  <si>
    <t>1.25 * I total DC</t>
  </si>
  <si>
    <t>Fusibles string</t>
  </si>
  <si>
    <t>DC</t>
  </si>
  <si>
    <t>IEC 62548 / NEC 690</t>
  </si>
  <si>
    <t>Sobrecorriente</t>
  </si>
  <si>
    <t>Seccionador DC</t>
  </si>
  <si>
    <t>Corriente nominal &gt;= I total DC</t>
  </si>
  <si>
    <t>Bajo carga</t>
  </si>
  <si>
    <t>IEC 60947-3</t>
  </si>
  <si>
    <t>Aislamiento bajo carga</t>
  </si>
  <si>
    <t>SPD DC Uc recomendado</t>
  </si>
  <si>
    <t>1.2 * Voc string Tmin</t>
  </si>
  <si>
    <t>Tipo II</t>
  </si>
  <si>
    <t>SPD tipo II</t>
  </si>
  <si>
    <t>IEC 61643</t>
  </si>
  <si>
    <t>Sobretensiones</t>
  </si>
  <si>
    <t>Breaker AC salida inversor</t>
  </si>
  <si>
    <t>1.25 * Iac</t>
  </si>
  <si>
    <t>Breaker AC</t>
  </si>
  <si>
    <t>AC</t>
  </si>
  <si>
    <t>IEC 60898 / NEC</t>
  </si>
  <si>
    <t>Seccionador AC</t>
  </si>
  <si>
    <t>Corriente nominal &gt;= Iac</t>
  </si>
  <si>
    <t>Aislación</t>
  </si>
  <si>
    <t>RCD / diferencial</t>
  </si>
  <si>
    <t>IEC 61008/61009</t>
  </si>
  <si>
    <t>Protección personas</t>
  </si>
  <si>
    <t>Interruptor diferencial</t>
  </si>
  <si>
    <t>Según esquema de red / fabricante</t>
  </si>
  <si>
    <t>Verificar proyecto</t>
  </si>
  <si>
    <t>SPD AC Uc recomendado</t>
  </si>
  <si>
    <t>1.1 * Vac</t>
  </si>
  <si>
    <t>DIMENSIONAMIENTO PRELIMINAR DE CONDUCTORES</t>
  </si>
  <si>
    <t>Tramo</t>
  </si>
  <si>
    <t>Longitud ida (m)</t>
  </si>
  <si>
    <t>Corriente (A)</t>
  </si>
  <si>
    <t>Voltaje (V)</t>
  </si>
  <si>
    <t>ΔV adm. (%)</t>
  </si>
  <si>
    <t>Sección calc. (mm²)</t>
  </si>
  <si>
    <t>Sección adoptada</t>
  </si>
  <si>
    <t>String FV → caja combinadora</t>
  </si>
  <si>
    <t>Caja combinadora → inversor</t>
  </si>
  <si>
    <t>Inversor → tablero AC</t>
  </si>
  <si>
    <t>Tablero AC → punto conexión</t>
  </si>
  <si>
    <t>Nota: cálculo preliminar con conductor de cobre y caída de tensión. La selección final debe verificarse por ampacidad, método de instalación, temperatura ambiente, agrupamiento y normativa local.</t>
  </si>
  <si>
    <t>RESUMEN EJECUTIVO DEL SISTEMA ON-GRID</t>
  </si>
  <si>
    <t>Demanda histórica</t>
  </si>
  <si>
    <t>Consumo promedio diario</t>
  </si>
  <si>
    <t>Base del diseño</t>
  </si>
  <si>
    <t>Con % de compensación</t>
  </si>
  <si>
    <t>Usando HSP mínima</t>
  </si>
  <si>
    <t>Módulos en serie</t>
  </si>
  <si>
    <t>Arreglo adoptado</t>
  </si>
  <si>
    <t>Generador real</t>
  </si>
  <si>
    <t>Equipo</t>
  </si>
  <si>
    <t>Objetivo 1.0–1.3</t>
  </si>
  <si>
    <t>Voc string a Tmin</t>
  </si>
  <si>
    <t>Verificación térmica</t>
  </si>
  <si>
    <t>Vmpp string a Tmax</t>
  </si>
  <si>
    <t>Ventana MPPT</t>
  </si>
  <si>
    <t>Verificación inversor</t>
  </si>
  <si>
    <t>Selección preliminar</t>
  </si>
  <si>
    <t>Breaker AC recomendado</t>
  </si>
  <si>
    <t>Estado global:
• Revise la hoja Cálculos para las verificaciones térmicas y eléctricas.
• Si algún criterio no cumple, ajuste módulos en serie, potencia del inversor o características del equipo.
• Las protecciones y conductores deben validarse normativamente para proyecto real.</t>
  </si>
  <si>
    <t xml:space="preserve">Diseño conectado a red </t>
  </si>
  <si>
    <t>Ejercicios guiados</t>
  </si>
  <si>
    <t xml:space="preserve"> </t>
  </si>
  <si>
    <t>Residencial</t>
  </si>
  <si>
    <t>Voltaje máximo FV - DC</t>
  </si>
  <si>
    <t>SISTEMA FOTOVOLTAICO ON-GRID</t>
  </si>
  <si>
    <t>REGISTRO DE CARGAS Y DEMANDA</t>
  </si>
  <si>
    <t>Tipo</t>
  </si>
  <si>
    <t>Descripción</t>
  </si>
  <si>
    <t>Cantidad</t>
  </si>
  <si>
    <t>Potencia (W)</t>
  </si>
  <si>
    <t>Horas/día</t>
  </si>
  <si>
    <t>Energía (Wh/día)</t>
  </si>
  <si>
    <t>Factor pico</t>
  </si>
  <si>
    <t>Potencia pico (W)</t>
  </si>
  <si>
    <t>RESUMEN AUTOMÁTICO</t>
  </si>
  <si>
    <t>Luminarias LED</t>
  </si>
  <si>
    <t>Televisor LED</t>
  </si>
  <si>
    <t>Consumo total DC</t>
  </si>
  <si>
    <t>Wh/día</t>
  </si>
  <si>
    <t>Portátiles</t>
  </si>
  <si>
    <t>Consumo total AC</t>
  </si>
  <si>
    <t>Router / comunicaciones</t>
  </si>
  <si>
    <t>Potencia pico DC</t>
  </si>
  <si>
    <t>Bomba de agua</t>
  </si>
  <si>
    <t>Potencia pico AC</t>
  </si>
  <si>
    <t>Refrigerador eficiente</t>
  </si>
  <si>
    <t>Consumo útil total</t>
  </si>
  <si>
    <t>Carga de teléfonos</t>
  </si>
  <si>
    <t xml:space="preserve">Aire acondicionado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</si>
</sst>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_-* #,##0_-;\-* #,##0_-;_-* &quot;-&quot;??_-;_-@_-"/>
  </numFmts>
  <fonts count="12">
    <font>
      <sz val="11"/>
      <color theme="1"/>
      <name val="Calibri"/>
      <family val="2"/>
      <scheme val="minor"/>
    </font>
    <font>
      <b/>
      <sz val="20"/>
      <color rgb="FF1F4E78"/>
      <name val="Calibri"/>
      <family val="2"/>
    </font>
    <font>
      <b/>
      <sz val="16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rgb="FF0000FF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2"/>
      <color rgb="FFFFFFFF"/>
      <name val="Aptos"/>
    </font>
    <font>
      <b/>
      <sz val="11"/>
      <name val="Aptos"/>
    </font>
  </fonts>
  <fills count="12">
    <fill>
      <patternFill patternType="none"/>
    </fill>
    <fill>
      <patternFill patternType="gray125"/>
    </fill>
    <fill>
      <patternFill patternType="solid">
        <fgColor rgb="FFE7E6E6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3F6F9"/>
      </patternFill>
    </fill>
  </fills>
  <borders count="5">
    <border>
      <left/>
      <right/>
      <top/>
      <bottom/>
      <diagonal/>
    </border>
    <border>
      <left style="thin">
        <color rgb="FFC9D0D6"/>
      </left>
      <right style="thin">
        <color rgb="FFC9D0D6"/>
      </right>
      <top style="thin">
        <color rgb="FFC9D0D6"/>
      </top>
      <bottom style="thin">
        <color rgb="FFC9D0D6"/>
      </bottom>
      <diagonal/>
    </border>
    <border>
      <left/>
      <right/>
      <top style="thin">
        <color rgb="FFC9D0D6"/>
      </top>
      <bottom style="thin">
        <color rgb="FFC9D0D6"/>
      </bottom>
      <diagonal/>
    </border>
    <border>
      <left/>
      <right style="thin">
        <color rgb="FFC9D0D6"/>
      </right>
      <top style="thin">
        <color rgb="FFC9D0D6"/>
      </top>
      <bottom style="thin">
        <color rgb="FFC9D0D6"/>
      </bottom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44">
    <xf numFmtId="0" fontId="0" fillId="0" borderId="0" xfId="0"/>
    <xf numFmtId="0" fontId="3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6" fillId="5" borderId="1" xfId="0" applyFont="1" applyFill="1" applyBorder="1" applyAlignment="1">
      <alignment vertical="center" wrapText="1"/>
    </xf>
    <xf numFmtId="2" fontId="5" fillId="6" borderId="1" xfId="0" applyNumberFormat="1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2" fontId="5" fillId="6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8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9" borderId="0" xfId="0" applyFont="1" applyFill="1"/>
    <xf numFmtId="0" fontId="0" fillId="9" borderId="0" xfId="0" applyFill="1"/>
    <xf numFmtId="165" fontId="5" fillId="6" borderId="1" xfId="1" applyNumberFormat="1" applyFont="1" applyFill="1" applyBorder="1" applyAlignment="1">
      <alignment vertical="center" wrapText="1"/>
    </xf>
    <xf numFmtId="0" fontId="5" fillId="9" borderId="1" xfId="0" applyFont="1" applyFill="1" applyBorder="1" applyAlignment="1">
      <alignment vertical="center" wrapText="1"/>
    </xf>
    <xf numFmtId="164" fontId="5" fillId="6" borderId="1" xfId="0" applyNumberFormat="1" applyFont="1" applyFill="1" applyBorder="1" applyAlignment="1">
      <alignment horizontal="center" vertical="center" wrapText="1"/>
    </xf>
    <xf numFmtId="0" fontId="0" fillId="0" borderId="0" xfId="0"/>
    <xf numFmtId="0" fontId="5" fillId="10" borderId="1" xfId="0" applyFont="1" applyFill="1" applyBorder="1" applyAlignment="1">
      <alignment vertical="center" wrapText="1"/>
    </xf>
    <xf numFmtId="2" fontId="5" fillId="10" borderId="1" xfId="0" applyNumberFormat="1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vertical="top" wrapText="1"/>
    </xf>
    <xf numFmtId="0" fontId="2" fillId="0" borderId="0" xfId="0" applyFont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7" borderId="0" xfId="0" applyFill="1" applyAlignment="1">
      <alignment vertical="top" wrapText="1"/>
    </xf>
    <xf numFmtId="0" fontId="10" fillId="3" borderId="4" xfId="0" applyFont="1" applyFill="1" applyBorder="1" applyAlignment="1">
      <alignment horizontal="center" vertical="center"/>
    </xf>
    <xf numFmtId="0" fontId="0" fillId="3" borderId="4" xfId="0" applyFill="1" applyBorder="1"/>
    <xf numFmtId="0" fontId="11" fillId="4" borderId="4" xfId="0" applyFont="1" applyFill="1" applyBorder="1" applyAlignment="1">
      <alignment horizontal="center" vertical="center" wrapText="1"/>
    </xf>
    <xf numFmtId="0" fontId="0" fillId="5" borderId="4" xfId="0" applyFill="1" applyBorder="1" applyAlignment="1">
      <alignment vertical="center" wrapText="1"/>
    </xf>
    <xf numFmtId="2" fontId="0" fillId="5" borderId="4" xfId="0" applyNumberFormat="1" applyFill="1" applyBorder="1" applyAlignment="1">
      <alignment vertical="center" wrapText="1"/>
    </xf>
    <xf numFmtId="0" fontId="0" fillId="6" borderId="4" xfId="0" applyFill="1" applyBorder="1" applyAlignment="1">
      <alignment vertical="center" wrapText="1"/>
    </xf>
    <xf numFmtId="0" fontId="0" fillId="11" borderId="4" xfId="0" applyFill="1" applyBorder="1" applyAlignment="1">
      <alignment vertical="center" wrapText="1"/>
    </xf>
    <xf numFmtId="0" fontId="0" fillId="0" borderId="4" xfId="0" applyBorder="1" applyAlignment="1">
      <alignment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247650</xdr:colOff>
      <xdr:row>37</xdr:row>
      <xdr:rowOff>76200</xdr:rowOff>
    </xdr:to>
    <xdr:sp macro="" textlink="">
      <xdr:nvSpPr>
        <xdr:cNvPr id="1028" name="Text Box 4" hidden="1">
          <a:extLst>
            <a:ext uri="{FF2B5EF4-FFF2-40B4-BE49-F238E27FC236}">
              <a16:creationId xmlns:a16="http://schemas.microsoft.com/office/drawing/2014/main" id="{6A35193A-9639-441C-5A40-33A5B2BDE38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781050</xdr:colOff>
      <xdr:row>37</xdr:row>
      <xdr:rowOff>44450</xdr:rowOff>
    </xdr:to>
    <xdr:sp macro="" textlink="">
      <xdr:nvSpPr>
        <xdr:cNvPr id="2" name="AutoShape 4">
          <a:extLst>
            <a:ext uri="{FF2B5EF4-FFF2-40B4-BE49-F238E27FC236}">
              <a16:creationId xmlns:a16="http://schemas.microsoft.com/office/drawing/2014/main" id="{33959D87-708E-7F34-BAC8-77CE4BB86C6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257175</xdr:colOff>
      <xdr:row>37</xdr:row>
      <xdr:rowOff>76200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FCA7AAEB-8115-E016-DE42-8956ACF6075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782175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228600</xdr:colOff>
      <xdr:row>45</xdr:row>
      <xdr:rowOff>9525</xdr:rowOff>
    </xdr:to>
    <xdr:sp macro="" textlink="">
      <xdr:nvSpPr>
        <xdr:cNvPr id="2050" name="Text Box 2" hidden="1">
          <a:extLst>
            <a:ext uri="{FF2B5EF4-FFF2-40B4-BE49-F238E27FC236}">
              <a16:creationId xmlns:a16="http://schemas.microsoft.com/office/drawing/2014/main" id="{04BBC137-FB4F-2014-C49F-2B543FD360D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323850</xdr:colOff>
      <xdr:row>46</xdr:row>
      <xdr:rowOff>95250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C4DDA655-2EF9-6F70-7355-835626B7A5C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639550" cy="92202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228600</xdr:colOff>
      <xdr:row>45</xdr:row>
      <xdr:rowOff>9525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A39C5B01-F7E7-49C5-C8B9-187FA80B113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639550" cy="92202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35"/>
  <sheetViews>
    <sheetView showGridLines="0" topLeftCell="A10" zoomScale="115" zoomScaleNormal="115" workbookViewId="0">
      <selection activeCell="B3" sqref="B3:J4"/>
    </sheetView>
  </sheetViews>
  <sheetFormatPr baseColWidth="10" defaultColWidth="9.21875" defaultRowHeight="14.4"/>
  <cols>
    <col min="2" max="10" width="14" customWidth="1"/>
  </cols>
  <sheetData>
    <row r="1" spans="2:10" ht="22.05" customHeight="1"/>
    <row r="2" spans="2:10" ht="22.05" customHeight="1"/>
    <row r="3" spans="2:10" ht="22.05" customHeight="1">
      <c r="B3" s="27" t="s">
        <v>249</v>
      </c>
      <c r="C3" s="28"/>
      <c r="D3" s="28"/>
      <c r="E3" s="28"/>
      <c r="F3" s="28"/>
      <c r="G3" s="28"/>
      <c r="H3" s="28"/>
      <c r="I3" s="28"/>
      <c r="J3" s="28"/>
    </row>
    <row r="4" spans="2:10" ht="22.05" customHeight="1">
      <c r="B4" s="28"/>
      <c r="C4" s="28"/>
      <c r="D4" s="28"/>
      <c r="E4" s="28"/>
      <c r="F4" s="28"/>
      <c r="G4" s="28"/>
      <c r="H4" s="28"/>
      <c r="I4" s="28"/>
      <c r="J4" s="28"/>
    </row>
    <row r="5" spans="2:10" ht="22.05" customHeight="1"/>
    <row r="6" spans="2:10" ht="22.05" customHeight="1">
      <c r="B6" s="31" t="s">
        <v>244</v>
      </c>
      <c r="C6" s="28"/>
      <c r="D6" s="28"/>
      <c r="E6" s="28"/>
      <c r="F6" s="28"/>
      <c r="G6" s="28"/>
      <c r="H6" s="28"/>
      <c r="I6" s="28"/>
      <c r="J6" s="28"/>
    </row>
    <row r="7" spans="2:10" ht="22.05" customHeight="1"/>
    <row r="8" spans="2:10" ht="22.05" customHeight="1">
      <c r="B8" s="29" t="s">
        <v>0</v>
      </c>
      <c r="C8" s="28"/>
      <c r="D8" s="28"/>
      <c r="E8" s="28"/>
      <c r="F8" s="28"/>
      <c r="G8" s="28"/>
      <c r="H8" s="28"/>
      <c r="I8" s="28"/>
      <c r="J8" s="28"/>
    </row>
    <row r="9" spans="2:10" ht="22.05" customHeight="1">
      <c r="B9" s="28"/>
      <c r="C9" s="28"/>
      <c r="D9" s="28"/>
      <c r="E9" s="28"/>
      <c r="F9" s="28"/>
      <c r="G9" s="28"/>
      <c r="H9" s="28"/>
      <c r="I9" s="28"/>
      <c r="J9" s="28"/>
    </row>
    <row r="10" spans="2:10" ht="22.05" customHeight="1">
      <c r="B10" s="28"/>
      <c r="C10" s="28"/>
      <c r="D10" s="28"/>
      <c r="E10" s="28"/>
      <c r="F10" s="28"/>
      <c r="G10" s="28"/>
      <c r="H10" s="28"/>
      <c r="I10" s="28"/>
      <c r="J10" s="28"/>
    </row>
    <row r="11" spans="2:10" ht="22.05" customHeight="1"/>
    <row r="12" spans="2:10" ht="22.05" customHeight="1"/>
    <row r="13" spans="2:10" ht="22.05" customHeight="1"/>
    <row r="14" spans="2:10" ht="22.05" customHeight="1">
      <c r="C14" s="1" t="s">
        <v>1</v>
      </c>
      <c r="E14" t="s">
        <v>245</v>
      </c>
    </row>
    <row r="15" spans="2:10" ht="22.05" customHeight="1"/>
    <row r="16" spans="2:10" ht="22.05" customHeight="1">
      <c r="C16" s="17" t="s">
        <v>2</v>
      </c>
      <c r="D16" s="18"/>
      <c r="E16" s="18" t="s">
        <v>3</v>
      </c>
      <c r="F16" s="18"/>
    </row>
    <row r="17" spans="2:10" ht="22.05" customHeight="1"/>
    <row r="18" spans="2:10" ht="22.05" customHeight="1">
      <c r="C18" s="1" t="s">
        <v>4</v>
      </c>
      <c r="E18" t="s">
        <v>5</v>
      </c>
    </row>
    <row r="19" spans="2:10" ht="22.05" customHeight="1"/>
    <row r="20" spans="2:10" ht="22.05" customHeight="1">
      <c r="C20" s="1" t="s">
        <v>6</v>
      </c>
      <c r="E20" t="s">
        <v>7</v>
      </c>
    </row>
    <row r="21" spans="2:10" ht="22.05" customHeight="1"/>
    <row r="22" spans="2:10" ht="22.05" customHeight="1">
      <c r="C22" s="1" t="s">
        <v>8</v>
      </c>
      <c r="E22" t="s">
        <v>9</v>
      </c>
    </row>
    <row r="23" spans="2:10" ht="22.05" customHeight="1"/>
    <row r="24" spans="2:10" ht="22.05" customHeight="1"/>
    <row r="25" spans="2:10" ht="22.05" customHeight="1"/>
    <row r="26" spans="2:10" ht="22.05" customHeight="1">
      <c r="B26" s="30" t="s">
        <v>10</v>
      </c>
      <c r="C26" s="28"/>
      <c r="D26" s="28"/>
      <c r="E26" s="28"/>
      <c r="F26" s="28"/>
      <c r="G26" s="28"/>
      <c r="H26" s="28"/>
      <c r="I26" s="28"/>
      <c r="J26" s="28"/>
    </row>
    <row r="27" spans="2:10" ht="22.05" customHeight="1">
      <c r="B27" s="28"/>
      <c r="C27" s="28"/>
      <c r="D27" s="28"/>
      <c r="E27" s="28"/>
      <c r="F27" s="28"/>
      <c r="G27" s="28"/>
      <c r="H27" s="28"/>
      <c r="I27" s="28"/>
      <c r="J27" s="28"/>
    </row>
    <row r="28" spans="2:10" ht="22.05" customHeight="1">
      <c r="B28" s="28"/>
      <c r="C28" s="28"/>
      <c r="D28" s="28"/>
      <c r="E28" s="28"/>
      <c r="F28" s="28"/>
      <c r="G28" s="28"/>
      <c r="H28" s="28"/>
      <c r="I28" s="28"/>
      <c r="J28" s="28"/>
    </row>
    <row r="29" spans="2:10" ht="22.05" customHeight="1">
      <c r="B29" s="28"/>
      <c r="C29" s="28"/>
      <c r="D29" s="28"/>
      <c r="E29" s="28"/>
      <c r="F29" s="28"/>
      <c r="G29" s="28"/>
      <c r="H29" s="28"/>
      <c r="I29" s="28"/>
      <c r="J29" s="28"/>
    </row>
    <row r="30" spans="2:10" ht="22.05" customHeight="1">
      <c r="B30" s="28"/>
      <c r="C30" s="28"/>
      <c r="D30" s="28"/>
      <c r="E30" s="28"/>
      <c r="F30" s="28"/>
      <c r="G30" s="28"/>
      <c r="H30" s="28"/>
      <c r="I30" s="28"/>
      <c r="J30" s="28"/>
    </row>
    <row r="31" spans="2:10" ht="22.05" customHeight="1">
      <c r="B31" s="28"/>
      <c r="C31" s="28"/>
      <c r="D31" s="28"/>
      <c r="E31" s="28"/>
      <c r="F31" s="28"/>
      <c r="G31" s="28"/>
      <c r="H31" s="28"/>
      <c r="I31" s="28"/>
      <c r="J31" s="28"/>
    </row>
    <row r="32" spans="2:10" ht="22.05" customHeight="1"/>
    <row r="33" ht="22.05" customHeight="1"/>
    <row r="34" ht="22.05" customHeight="1"/>
    <row r="35" ht="22.05" customHeight="1"/>
  </sheetData>
  <mergeCells count="4">
    <mergeCell ref="B3:J4"/>
    <mergeCell ref="B8:J10"/>
    <mergeCell ref="B26:J31"/>
    <mergeCell ref="B6:J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8"/>
  <sheetViews>
    <sheetView tabSelected="1" zoomScale="130" zoomScaleNormal="130" workbookViewId="0">
      <selection activeCell="F5" sqref="F5:G5"/>
    </sheetView>
  </sheetViews>
  <sheetFormatPr baseColWidth="10" defaultColWidth="9.21875" defaultRowHeight="14.4"/>
  <cols>
    <col min="1" max="1" width="28" customWidth="1"/>
    <col min="2" max="2" width="21.109375" style="16" bestFit="1" customWidth="1"/>
    <col min="3" max="3" width="14" customWidth="1"/>
    <col min="4" max="4" width="23.77734375" customWidth="1"/>
    <col min="6" max="6" width="28" customWidth="1"/>
    <col min="7" max="8" width="14" customWidth="1"/>
    <col min="9" max="9" width="18" customWidth="1"/>
  </cols>
  <sheetData>
    <row r="1" spans="1:9">
      <c r="A1" s="32" t="s">
        <v>11</v>
      </c>
      <c r="B1" s="33"/>
      <c r="C1" s="33"/>
      <c r="D1" s="33"/>
      <c r="E1" s="33"/>
      <c r="F1" s="33"/>
      <c r="G1" s="33"/>
      <c r="H1" s="33"/>
      <c r="I1" s="34"/>
    </row>
    <row r="3" spans="1:9">
      <c r="A3" s="2" t="s">
        <v>12</v>
      </c>
      <c r="B3" s="2" t="s">
        <v>13</v>
      </c>
      <c r="C3" s="2" t="s">
        <v>14</v>
      </c>
      <c r="D3" s="2" t="s">
        <v>15</v>
      </c>
      <c r="F3" s="32" t="s">
        <v>16</v>
      </c>
      <c r="G3" s="33"/>
      <c r="H3" s="33"/>
      <c r="I3" s="34"/>
    </row>
    <row r="4" spans="1:9">
      <c r="A4" s="3" t="s">
        <v>17</v>
      </c>
      <c r="B4" s="15" t="s">
        <v>18</v>
      </c>
      <c r="C4" s="3" t="s">
        <v>19</v>
      </c>
      <c r="D4" s="3" t="s">
        <v>20</v>
      </c>
      <c r="F4" s="2" t="s">
        <v>21</v>
      </c>
      <c r="G4" s="2" t="s">
        <v>13</v>
      </c>
      <c r="H4" s="2" t="s">
        <v>14</v>
      </c>
      <c r="I4" s="2" t="s">
        <v>22</v>
      </c>
    </row>
    <row r="5" spans="1:9">
      <c r="A5" s="3" t="s">
        <v>23</v>
      </c>
      <c r="B5" s="15" t="s">
        <v>24</v>
      </c>
      <c r="C5" s="3" t="s">
        <v>19</v>
      </c>
      <c r="D5" s="3" t="s">
        <v>20</v>
      </c>
      <c r="F5" s="23" t="s">
        <v>25</v>
      </c>
      <c r="G5" s="26">
        <v>630</v>
      </c>
      <c r="H5" s="3" t="s">
        <v>26</v>
      </c>
      <c r="I5" s="3" t="s">
        <v>20</v>
      </c>
    </row>
    <row r="6" spans="1:9">
      <c r="A6" s="3" t="s">
        <v>27</v>
      </c>
      <c r="B6" s="15" t="s">
        <v>247</v>
      </c>
      <c r="C6" s="3" t="s">
        <v>19</v>
      </c>
      <c r="D6" s="3" t="s">
        <v>20</v>
      </c>
      <c r="F6" s="3" t="s">
        <v>28</v>
      </c>
      <c r="G6" s="4">
        <v>41.02</v>
      </c>
      <c r="H6" s="3" t="s">
        <v>29</v>
      </c>
      <c r="I6" s="3" t="s">
        <v>20</v>
      </c>
    </row>
    <row r="7" spans="1:9">
      <c r="A7" s="3" t="s">
        <v>30</v>
      </c>
      <c r="B7" s="15">
        <v>220</v>
      </c>
      <c r="C7" s="3" t="s">
        <v>31</v>
      </c>
      <c r="D7" s="3" t="s">
        <v>32</v>
      </c>
      <c r="F7" s="20" t="s">
        <v>33</v>
      </c>
      <c r="G7" s="4">
        <v>49.48</v>
      </c>
      <c r="H7" s="3" t="s">
        <v>29</v>
      </c>
      <c r="I7" s="3" t="s">
        <v>20</v>
      </c>
    </row>
    <row r="8" spans="1:9">
      <c r="A8" s="3" t="s">
        <v>34</v>
      </c>
      <c r="B8" s="15">
        <v>1</v>
      </c>
      <c r="C8" s="3" t="s">
        <v>19</v>
      </c>
      <c r="D8" s="3" t="s">
        <v>20</v>
      </c>
      <c r="F8" s="3" t="s">
        <v>35</v>
      </c>
      <c r="G8" s="4">
        <v>15.36</v>
      </c>
      <c r="H8" s="3" t="s">
        <v>36</v>
      </c>
      <c r="I8" s="3" t="s">
        <v>20</v>
      </c>
    </row>
    <row r="9" spans="1:9">
      <c r="A9" s="3" t="s">
        <v>37</v>
      </c>
      <c r="B9" s="15">
        <v>1</v>
      </c>
      <c r="C9" s="3" t="s">
        <v>38</v>
      </c>
      <c r="D9" s="3" t="s">
        <v>39</v>
      </c>
      <c r="F9" s="3" t="s">
        <v>40</v>
      </c>
      <c r="G9" s="4">
        <v>16.2</v>
      </c>
      <c r="H9" s="3" t="s">
        <v>36</v>
      </c>
      <c r="I9" s="3" t="s">
        <v>20</v>
      </c>
    </row>
    <row r="10" spans="1:9">
      <c r="A10" s="3" t="s">
        <v>41</v>
      </c>
      <c r="B10" s="15">
        <v>0.8</v>
      </c>
      <c r="C10" s="3" t="s">
        <v>38</v>
      </c>
      <c r="D10" s="3" t="s">
        <v>20</v>
      </c>
      <c r="F10" s="3" t="s">
        <v>42</v>
      </c>
      <c r="G10" s="4">
        <v>2.8E-3</v>
      </c>
      <c r="H10" s="3" t="s">
        <v>43</v>
      </c>
      <c r="I10" s="3" t="s">
        <v>44</v>
      </c>
    </row>
    <row r="11" spans="1:9">
      <c r="A11" s="3" t="s">
        <v>45</v>
      </c>
      <c r="B11" s="15">
        <v>10</v>
      </c>
      <c r="C11" s="3" t="s">
        <v>46</v>
      </c>
      <c r="D11" s="3" t="s">
        <v>47</v>
      </c>
      <c r="F11" s="3" t="s">
        <v>48</v>
      </c>
      <c r="G11" s="4">
        <v>3.0000000000000001E-3</v>
      </c>
      <c r="H11" s="3" t="s">
        <v>43</v>
      </c>
      <c r="I11" s="3" t="s">
        <v>44</v>
      </c>
    </row>
    <row r="12" spans="1:9">
      <c r="A12" s="3" t="s">
        <v>49</v>
      </c>
      <c r="B12" s="15">
        <v>45</v>
      </c>
      <c r="C12" s="3" t="s">
        <v>46</v>
      </c>
      <c r="D12" s="3" t="s">
        <v>50</v>
      </c>
      <c r="F12" s="3" t="s">
        <v>51</v>
      </c>
      <c r="G12" s="4">
        <v>10</v>
      </c>
      <c r="H12" s="3" t="s">
        <v>52</v>
      </c>
      <c r="I12" s="3" t="s">
        <v>20</v>
      </c>
    </row>
    <row r="13" spans="1:9">
      <c r="F13" s="3" t="s">
        <v>53</v>
      </c>
      <c r="G13" s="4">
        <v>200</v>
      </c>
      <c r="H13" s="3" t="s">
        <v>29</v>
      </c>
      <c r="I13" s="3" t="s">
        <v>20</v>
      </c>
    </row>
    <row r="14" spans="1:9">
      <c r="F14" s="20" t="s">
        <v>54</v>
      </c>
      <c r="G14" s="4">
        <v>800</v>
      </c>
      <c r="H14" s="3" t="s">
        <v>29</v>
      </c>
      <c r="I14" s="3" t="s">
        <v>20</v>
      </c>
    </row>
    <row r="15" spans="1:9">
      <c r="A15" s="32" t="s">
        <v>55</v>
      </c>
      <c r="B15" s="33"/>
      <c r="C15" s="33"/>
      <c r="D15" s="34"/>
      <c r="F15" s="3" t="s">
        <v>248</v>
      </c>
      <c r="G15" s="4">
        <v>800</v>
      </c>
      <c r="H15" s="3" t="s">
        <v>29</v>
      </c>
      <c r="I15" s="3" t="s">
        <v>20</v>
      </c>
    </row>
    <row r="16" spans="1:9">
      <c r="A16" s="2" t="s">
        <v>21</v>
      </c>
      <c r="B16" s="2" t="s">
        <v>13</v>
      </c>
      <c r="C16" s="2" t="s">
        <v>14</v>
      </c>
      <c r="D16" s="2" t="s">
        <v>22</v>
      </c>
      <c r="F16" s="3" t="s">
        <v>56</v>
      </c>
      <c r="G16" s="4">
        <v>4</v>
      </c>
      <c r="H16" s="3" t="s">
        <v>57</v>
      </c>
      <c r="I16" s="3" t="s">
        <v>20</v>
      </c>
    </row>
    <row r="17" spans="1:9">
      <c r="A17" s="3" t="s">
        <v>58</v>
      </c>
      <c r="B17" s="15">
        <v>0.02</v>
      </c>
      <c r="C17" s="3" t="s">
        <v>38</v>
      </c>
      <c r="D17" s="3" t="s">
        <v>59</v>
      </c>
      <c r="F17" s="3" t="s">
        <v>60</v>
      </c>
      <c r="G17" s="4">
        <v>32</v>
      </c>
      <c r="H17" s="3" t="s">
        <v>36</v>
      </c>
      <c r="I17" s="3" t="s">
        <v>20</v>
      </c>
    </row>
    <row r="18" spans="1:9">
      <c r="A18" s="3" t="s">
        <v>61</v>
      </c>
      <c r="B18" s="15">
        <v>0.03</v>
      </c>
      <c r="C18" s="3" t="s">
        <v>38</v>
      </c>
      <c r="D18" s="3" t="s">
        <v>62</v>
      </c>
    </row>
    <row r="19" spans="1:9">
      <c r="A19" s="3" t="s">
        <v>63</v>
      </c>
      <c r="B19" s="15">
        <v>1.25</v>
      </c>
      <c r="C19" s="3" t="s">
        <v>38</v>
      </c>
      <c r="D19" s="3" t="s">
        <v>64</v>
      </c>
      <c r="F19" s="32" t="s">
        <v>65</v>
      </c>
      <c r="G19" s="33"/>
      <c r="H19" s="33"/>
      <c r="I19" s="34"/>
    </row>
    <row r="20" spans="1:9">
      <c r="A20" s="3" t="s">
        <v>66</v>
      </c>
      <c r="B20" s="15">
        <v>1.25</v>
      </c>
      <c r="C20" s="3" t="s">
        <v>38</v>
      </c>
      <c r="D20" s="3" t="s">
        <v>67</v>
      </c>
      <c r="F20" s="2" t="s">
        <v>21</v>
      </c>
      <c r="G20" s="2" t="s">
        <v>13</v>
      </c>
      <c r="H20" s="2" t="s">
        <v>14</v>
      </c>
      <c r="I20" s="2" t="s">
        <v>22</v>
      </c>
    </row>
    <row r="21" spans="1:9" ht="28.8">
      <c r="A21" s="3" t="s">
        <v>68</v>
      </c>
      <c r="B21" s="15">
        <v>1.2</v>
      </c>
      <c r="C21" s="3" t="s">
        <v>38</v>
      </c>
      <c r="D21" s="3" t="s">
        <v>69</v>
      </c>
      <c r="F21" s="3" t="s">
        <v>70</v>
      </c>
      <c r="G21" s="4">
        <v>9</v>
      </c>
      <c r="H21" s="3" t="s">
        <v>57</v>
      </c>
      <c r="I21" s="3" t="s">
        <v>71</v>
      </c>
    </row>
    <row r="22" spans="1:9">
      <c r="A22" s="3" t="s">
        <v>72</v>
      </c>
      <c r="B22" s="15">
        <v>1.1000000000000001</v>
      </c>
      <c r="C22" s="3" t="s">
        <v>38</v>
      </c>
      <c r="D22" s="3" t="s">
        <v>73</v>
      </c>
    </row>
    <row r="23" spans="1:9" ht="22.05" customHeight="1"/>
    <row r="24" spans="1:9" ht="22.05" customHeight="1">
      <c r="A24" s="30" t="s">
        <v>74</v>
      </c>
      <c r="B24" s="28"/>
      <c r="C24" s="28"/>
      <c r="D24" s="28"/>
      <c r="E24" s="28"/>
      <c r="F24" s="28"/>
      <c r="G24" s="28"/>
      <c r="H24" s="28"/>
      <c r="I24" s="28"/>
    </row>
    <row r="25" spans="1:9" ht="22.05" customHeight="1">
      <c r="A25" s="28"/>
      <c r="B25" s="28"/>
      <c r="C25" s="28"/>
      <c r="D25" s="28"/>
      <c r="E25" s="28"/>
      <c r="F25" s="28"/>
      <c r="G25" s="28"/>
      <c r="H25" s="28"/>
      <c r="I25" s="28"/>
    </row>
    <row r="26" spans="1:9" ht="22.05" customHeight="1">
      <c r="A26" s="28"/>
      <c r="B26" s="28"/>
      <c r="C26" s="28"/>
      <c r="D26" s="28"/>
      <c r="E26" s="28"/>
      <c r="F26" s="28"/>
      <c r="G26" s="28"/>
      <c r="H26" s="28"/>
      <c r="I26" s="28"/>
    </row>
    <row r="27" spans="1:9" ht="22.05" customHeight="1">
      <c r="A27" s="28"/>
      <c r="B27" s="28"/>
      <c r="C27" s="28"/>
      <c r="D27" s="28"/>
      <c r="E27" s="28"/>
      <c r="F27" s="28"/>
      <c r="G27" s="28"/>
      <c r="H27" s="28"/>
      <c r="I27" s="28"/>
    </row>
    <row r="28" spans="1:9" ht="22.05" customHeight="1">
      <c r="A28" s="28"/>
      <c r="B28" s="28"/>
      <c r="C28" s="28"/>
      <c r="D28" s="28"/>
      <c r="E28" s="28"/>
      <c r="F28" s="28"/>
      <c r="G28" s="28"/>
      <c r="H28" s="28"/>
      <c r="I28" s="28"/>
    </row>
  </sheetData>
  <mergeCells count="5">
    <mergeCell ref="A24:I28"/>
    <mergeCell ref="F3:I3"/>
    <mergeCell ref="A1:I1"/>
    <mergeCell ref="A15:D15"/>
    <mergeCell ref="F19:I19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8E483-E4D8-473E-9D46-F8D2C90EBA6E}">
  <dimension ref="A1:N23"/>
  <sheetViews>
    <sheetView zoomScale="115" zoomScaleNormal="115" workbookViewId="0">
      <selection activeCell="F5" sqref="F5"/>
    </sheetView>
  </sheetViews>
  <sheetFormatPr baseColWidth="10" defaultColWidth="9.21875" defaultRowHeight="14.4"/>
  <cols>
    <col min="1" max="1" width="5.44140625" style="22" bestFit="1" customWidth="1"/>
    <col min="2" max="2" width="28" style="22" customWidth="1"/>
    <col min="3" max="3" width="10.77734375" style="22" customWidth="1"/>
    <col min="4" max="4" width="12" style="22" customWidth="1"/>
    <col min="5" max="5" width="12.5546875" style="22" customWidth="1"/>
    <col min="6" max="6" width="9.44140625" style="22" bestFit="1" customWidth="1"/>
    <col min="7" max="7" width="11" style="22" customWidth="1"/>
    <col min="8" max="8" width="14" style="22" customWidth="1"/>
    <col min="9" max="9" width="18" style="22" customWidth="1"/>
    <col min="10" max="10" width="9.21875" style="22"/>
    <col min="11" max="11" width="30" style="22" customWidth="1"/>
    <col min="12" max="12" width="14" style="22" customWidth="1"/>
    <col min="13" max="13" width="9.21875" style="22"/>
    <col min="14" max="14" width="15.21875" style="22" customWidth="1"/>
    <col min="15" max="16384" width="9.21875" style="22"/>
  </cols>
  <sheetData>
    <row r="1" spans="1:14" ht="15.6">
      <c r="A1" s="36" t="s">
        <v>250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</row>
    <row r="3" spans="1:14" ht="27.6">
      <c r="A3" s="38" t="s">
        <v>251</v>
      </c>
      <c r="B3" s="38" t="s">
        <v>252</v>
      </c>
      <c r="C3" s="38" t="s">
        <v>253</v>
      </c>
      <c r="D3" s="38" t="s">
        <v>254</v>
      </c>
      <c r="E3" s="38" t="s">
        <v>255</v>
      </c>
      <c r="F3" s="38" t="s">
        <v>256</v>
      </c>
      <c r="G3" s="38" t="s">
        <v>257</v>
      </c>
      <c r="H3" s="38" t="s">
        <v>258</v>
      </c>
      <c r="I3" s="38" t="s">
        <v>15</v>
      </c>
      <c r="K3" s="36" t="s">
        <v>259</v>
      </c>
      <c r="L3" s="37"/>
      <c r="M3" s="37"/>
      <c r="N3" s="37"/>
    </row>
    <row r="4" spans="1:14">
      <c r="A4" s="39" t="s">
        <v>199</v>
      </c>
      <c r="B4" s="39" t="s">
        <v>260</v>
      </c>
      <c r="C4" s="40">
        <v>8</v>
      </c>
      <c r="D4" s="40">
        <v>9</v>
      </c>
      <c r="E4" s="40">
        <v>5</v>
      </c>
      <c r="F4" s="41">
        <f t="shared" ref="F4:F23" si="0">IF(OR(C4="",D4="",E4=""),"",C4*D4*E4)</f>
        <v>360</v>
      </c>
      <c r="G4" s="40">
        <v>1</v>
      </c>
      <c r="H4" s="41">
        <f t="shared" ref="H4:H23" si="1">IF(OR(C4="",D4="",G4=""),"",C4*D4*G4)</f>
        <v>72</v>
      </c>
      <c r="I4" s="39" t="s">
        <v>81</v>
      </c>
      <c r="K4" s="38" t="s">
        <v>21</v>
      </c>
      <c r="L4" s="38" t="s">
        <v>105</v>
      </c>
      <c r="M4" s="38" t="s">
        <v>14</v>
      </c>
      <c r="N4" s="38" t="s">
        <v>22</v>
      </c>
    </row>
    <row r="5" spans="1:14">
      <c r="A5" s="39" t="s">
        <v>199</v>
      </c>
      <c r="B5" s="39" t="s">
        <v>261</v>
      </c>
      <c r="C5" s="40">
        <v>1</v>
      </c>
      <c r="D5" s="40">
        <v>80</v>
      </c>
      <c r="E5" s="40">
        <v>4</v>
      </c>
      <c r="F5" s="41">
        <f t="shared" si="0"/>
        <v>320</v>
      </c>
      <c r="G5" s="40">
        <v>1</v>
      </c>
      <c r="H5" s="41">
        <f t="shared" si="1"/>
        <v>80</v>
      </c>
      <c r="I5" s="39" t="s">
        <v>81</v>
      </c>
      <c r="K5" s="42" t="s">
        <v>262</v>
      </c>
      <c r="L5" s="41">
        <f>SUMIF($A$4:$A$23,"DC",$F$4:$F$23)</f>
        <v>0</v>
      </c>
      <c r="M5" s="43" t="s">
        <v>263</v>
      </c>
      <c r="N5" s="43" t="s">
        <v>81</v>
      </c>
    </row>
    <row r="6" spans="1:14">
      <c r="A6" s="39" t="s">
        <v>199</v>
      </c>
      <c r="B6" s="39" t="s">
        <v>264</v>
      </c>
      <c r="C6" s="40">
        <v>2</v>
      </c>
      <c r="D6" s="40">
        <v>65</v>
      </c>
      <c r="E6" s="40">
        <v>3</v>
      </c>
      <c r="F6" s="41">
        <f t="shared" si="0"/>
        <v>390</v>
      </c>
      <c r="G6" s="40">
        <v>1</v>
      </c>
      <c r="H6" s="41">
        <f t="shared" si="1"/>
        <v>130</v>
      </c>
      <c r="I6" s="39" t="s">
        <v>81</v>
      </c>
      <c r="K6" s="42" t="s">
        <v>265</v>
      </c>
      <c r="L6" s="41">
        <f>SUMIF($A$4:$A$23,"AC",$F$4:$F$23)</f>
        <v>2625</v>
      </c>
      <c r="M6" s="43" t="s">
        <v>263</v>
      </c>
      <c r="N6" s="43" t="s">
        <v>81</v>
      </c>
    </row>
    <row r="7" spans="1:14">
      <c r="A7" s="39" t="s">
        <v>199</v>
      </c>
      <c r="B7" s="39" t="s">
        <v>266</v>
      </c>
      <c r="C7" s="40">
        <v>1</v>
      </c>
      <c r="D7" s="40">
        <v>15</v>
      </c>
      <c r="E7" s="40">
        <v>8</v>
      </c>
      <c r="F7" s="41">
        <f t="shared" si="0"/>
        <v>120</v>
      </c>
      <c r="G7" s="40">
        <v>1</v>
      </c>
      <c r="H7" s="41">
        <f t="shared" si="1"/>
        <v>15</v>
      </c>
      <c r="I7" s="39" t="s">
        <v>81</v>
      </c>
      <c r="K7" s="42" t="s">
        <v>267</v>
      </c>
      <c r="L7" s="41">
        <f>SUMIF($A$4:$A$23,"DC",$H$4:$H$23)</f>
        <v>0</v>
      </c>
      <c r="M7" s="43" t="s">
        <v>26</v>
      </c>
      <c r="N7" s="43" t="s">
        <v>81</v>
      </c>
    </row>
    <row r="8" spans="1:14">
      <c r="A8" s="39" t="s">
        <v>199</v>
      </c>
      <c r="B8" s="39" t="s">
        <v>268</v>
      </c>
      <c r="C8" s="40">
        <v>1</v>
      </c>
      <c r="D8" s="40">
        <v>250</v>
      </c>
      <c r="E8" s="40">
        <v>1.5</v>
      </c>
      <c r="F8" s="41">
        <f t="shared" si="0"/>
        <v>375</v>
      </c>
      <c r="G8" s="40">
        <v>1</v>
      </c>
      <c r="H8" s="41">
        <f t="shared" si="1"/>
        <v>250</v>
      </c>
      <c r="I8" s="39" t="s">
        <v>81</v>
      </c>
      <c r="K8" s="42" t="s">
        <v>269</v>
      </c>
      <c r="L8" s="41">
        <f>SUMIF($A$4:$A$23,"AC",$H$4:$H$23)</f>
        <v>692</v>
      </c>
      <c r="M8" s="43" t="s">
        <v>26</v>
      </c>
      <c r="N8" s="43" t="s">
        <v>81</v>
      </c>
    </row>
    <row r="9" spans="1:14">
      <c r="A9" s="39" t="s">
        <v>199</v>
      </c>
      <c r="B9" s="39" t="s">
        <v>270</v>
      </c>
      <c r="C9" s="40">
        <v>1</v>
      </c>
      <c r="D9" s="40">
        <v>120</v>
      </c>
      <c r="E9" s="40">
        <v>8</v>
      </c>
      <c r="F9" s="41">
        <f t="shared" si="0"/>
        <v>960</v>
      </c>
      <c r="G9" s="40">
        <v>1</v>
      </c>
      <c r="H9" s="41">
        <f t="shared" si="1"/>
        <v>120</v>
      </c>
      <c r="I9" s="39" t="s">
        <v>81</v>
      </c>
      <c r="K9" s="42" t="s">
        <v>271</v>
      </c>
      <c r="L9" s="41">
        <f>L5+L6</f>
        <v>2625</v>
      </c>
      <c r="M9" s="43" t="s">
        <v>263</v>
      </c>
      <c r="N9" s="43" t="s">
        <v>81</v>
      </c>
    </row>
    <row r="10" spans="1:14">
      <c r="A10" s="39" t="s">
        <v>199</v>
      </c>
      <c r="B10" s="39" t="s">
        <v>272</v>
      </c>
      <c r="C10" s="40">
        <v>5</v>
      </c>
      <c r="D10" s="40">
        <v>10</v>
      </c>
      <c r="E10" s="40">
        <v>2</v>
      </c>
      <c r="F10" s="41">
        <f t="shared" si="0"/>
        <v>100</v>
      </c>
      <c r="G10" s="40">
        <v>0.5</v>
      </c>
      <c r="H10" s="41">
        <f t="shared" si="1"/>
        <v>25</v>
      </c>
      <c r="I10" s="39" t="s">
        <v>81</v>
      </c>
    </row>
    <row r="11" spans="1:14">
      <c r="A11" s="39" t="s">
        <v>199</v>
      </c>
      <c r="B11" s="39" t="s">
        <v>273</v>
      </c>
      <c r="C11" s="39"/>
      <c r="D11" s="39">
        <v>1000</v>
      </c>
      <c r="E11" s="39">
        <v>4</v>
      </c>
      <c r="F11" s="41" t="str">
        <f>IF(OR(C11="",D11="",E11=""),"",C11*D11*E11)</f>
        <v/>
      </c>
      <c r="G11" s="40">
        <v>1</v>
      </c>
      <c r="H11" s="41" t="str">
        <f>IF(OR(C11="",D11="",G11=""),"",C11*D11*G11)</f>
        <v/>
      </c>
      <c r="I11" s="39" t="s">
        <v>81</v>
      </c>
    </row>
    <row r="12" spans="1:14">
      <c r="A12" s="39" t="s">
        <v>81</v>
      </c>
      <c r="B12" s="39" t="s">
        <v>81</v>
      </c>
      <c r="C12" s="39" t="s">
        <v>81</v>
      </c>
      <c r="D12" s="39" t="s">
        <v>81</v>
      </c>
      <c r="E12" s="39" t="s">
        <v>81</v>
      </c>
      <c r="F12" s="41" t="str">
        <f t="shared" si="0"/>
        <v/>
      </c>
      <c r="G12" s="39" t="s">
        <v>81</v>
      </c>
      <c r="H12" s="41" t="str">
        <f t="shared" si="1"/>
        <v/>
      </c>
      <c r="I12" s="39" t="s">
        <v>81</v>
      </c>
    </row>
    <row r="13" spans="1:14">
      <c r="A13" s="39" t="s">
        <v>81</v>
      </c>
      <c r="B13" s="39" t="s">
        <v>81</v>
      </c>
      <c r="C13" s="39" t="s">
        <v>81</v>
      </c>
      <c r="D13" s="39" t="s">
        <v>81</v>
      </c>
      <c r="E13" s="39" t="s">
        <v>81</v>
      </c>
      <c r="F13" s="41" t="str">
        <f t="shared" si="0"/>
        <v/>
      </c>
      <c r="G13" s="39" t="s">
        <v>81</v>
      </c>
      <c r="H13" s="41" t="str">
        <f t="shared" si="1"/>
        <v/>
      </c>
      <c r="I13" s="39" t="s">
        <v>81</v>
      </c>
    </row>
    <row r="14" spans="1:14">
      <c r="A14" s="39" t="s">
        <v>81</v>
      </c>
      <c r="B14" s="39" t="s">
        <v>81</v>
      </c>
      <c r="C14" s="39" t="s">
        <v>81</v>
      </c>
      <c r="D14" s="39" t="s">
        <v>81</v>
      </c>
      <c r="E14" s="39" t="s">
        <v>81</v>
      </c>
      <c r="F14" s="41" t="str">
        <f t="shared" si="0"/>
        <v/>
      </c>
      <c r="G14" s="39" t="s">
        <v>81</v>
      </c>
      <c r="H14" s="41" t="str">
        <f t="shared" si="1"/>
        <v/>
      </c>
      <c r="I14" s="39" t="s">
        <v>81</v>
      </c>
    </row>
    <row r="15" spans="1:14">
      <c r="A15" s="39" t="s">
        <v>81</v>
      </c>
      <c r="B15" s="39" t="s">
        <v>81</v>
      </c>
      <c r="C15" s="39" t="s">
        <v>81</v>
      </c>
      <c r="D15" s="39" t="s">
        <v>81</v>
      </c>
      <c r="E15" s="39" t="s">
        <v>81</v>
      </c>
      <c r="F15" s="41" t="str">
        <f t="shared" si="0"/>
        <v/>
      </c>
      <c r="G15" s="39" t="s">
        <v>81</v>
      </c>
      <c r="H15" s="41" t="str">
        <f t="shared" si="1"/>
        <v/>
      </c>
      <c r="I15" s="39" t="s">
        <v>81</v>
      </c>
    </row>
    <row r="16" spans="1:14">
      <c r="A16" s="39" t="s">
        <v>81</v>
      </c>
      <c r="B16" s="39" t="s">
        <v>81</v>
      </c>
      <c r="C16" s="39" t="s">
        <v>81</v>
      </c>
      <c r="D16" s="39" t="s">
        <v>81</v>
      </c>
      <c r="E16" s="39" t="s">
        <v>81</v>
      </c>
      <c r="F16" s="41" t="str">
        <f t="shared" si="0"/>
        <v/>
      </c>
      <c r="G16" s="39" t="s">
        <v>81</v>
      </c>
      <c r="H16" s="41" t="str">
        <f t="shared" si="1"/>
        <v/>
      </c>
      <c r="I16" s="39" t="s">
        <v>81</v>
      </c>
    </row>
    <row r="17" spans="1:9">
      <c r="A17" s="39" t="s">
        <v>81</v>
      </c>
      <c r="B17" s="39" t="s">
        <v>81</v>
      </c>
      <c r="C17" s="39" t="s">
        <v>81</v>
      </c>
      <c r="D17" s="39" t="s">
        <v>81</v>
      </c>
      <c r="E17" s="39" t="s">
        <v>81</v>
      </c>
      <c r="F17" s="41" t="str">
        <f t="shared" si="0"/>
        <v/>
      </c>
      <c r="G17" s="39" t="s">
        <v>81</v>
      </c>
      <c r="H17" s="41" t="str">
        <f t="shared" si="1"/>
        <v/>
      </c>
      <c r="I17" s="39" t="s">
        <v>81</v>
      </c>
    </row>
    <row r="18" spans="1:9">
      <c r="A18" s="39" t="s">
        <v>81</v>
      </c>
      <c r="B18" s="39" t="s">
        <v>81</v>
      </c>
      <c r="C18" s="39" t="s">
        <v>81</v>
      </c>
      <c r="D18" s="39" t="s">
        <v>81</v>
      </c>
      <c r="E18" s="39" t="s">
        <v>81</v>
      </c>
      <c r="F18" s="41" t="str">
        <f t="shared" si="0"/>
        <v/>
      </c>
      <c r="G18" s="39" t="s">
        <v>81</v>
      </c>
      <c r="H18" s="41" t="str">
        <f t="shared" si="1"/>
        <v/>
      </c>
      <c r="I18" s="39" t="s">
        <v>81</v>
      </c>
    </row>
    <row r="19" spans="1:9">
      <c r="A19" s="39" t="s">
        <v>81</v>
      </c>
      <c r="B19" s="39" t="s">
        <v>81</v>
      </c>
      <c r="C19" s="39" t="s">
        <v>81</v>
      </c>
      <c r="D19" s="39" t="s">
        <v>81</v>
      </c>
      <c r="E19" s="39" t="s">
        <v>81</v>
      </c>
      <c r="F19" s="41" t="str">
        <f t="shared" si="0"/>
        <v/>
      </c>
      <c r="G19" s="39" t="s">
        <v>81</v>
      </c>
      <c r="H19" s="41" t="str">
        <f t="shared" si="1"/>
        <v/>
      </c>
      <c r="I19" s="39" t="s">
        <v>81</v>
      </c>
    </row>
    <row r="20" spans="1:9">
      <c r="A20" s="39" t="s">
        <v>81</v>
      </c>
      <c r="B20" s="39" t="s">
        <v>81</v>
      </c>
      <c r="C20" s="39" t="s">
        <v>81</v>
      </c>
      <c r="D20" s="39" t="s">
        <v>81</v>
      </c>
      <c r="E20" s="39" t="s">
        <v>81</v>
      </c>
      <c r="F20" s="41" t="str">
        <f t="shared" si="0"/>
        <v/>
      </c>
      <c r="G20" s="39" t="s">
        <v>81</v>
      </c>
      <c r="H20" s="41" t="str">
        <f t="shared" si="1"/>
        <v/>
      </c>
      <c r="I20" s="39" t="s">
        <v>81</v>
      </c>
    </row>
    <row r="21" spans="1:9">
      <c r="A21" s="39" t="s">
        <v>81</v>
      </c>
      <c r="B21" s="39" t="s">
        <v>81</v>
      </c>
      <c r="C21" s="39" t="s">
        <v>81</v>
      </c>
      <c r="D21" s="39" t="s">
        <v>81</v>
      </c>
      <c r="E21" s="39" t="s">
        <v>81</v>
      </c>
      <c r="F21" s="41" t="str">
        <f t="shared" si="0"/>
        <v/>
      </c>
      <c r="G21" s="39" t="s">
        <v>81</v>
      </c>
      <c r="H21" s="41" t="str">
        <f t="shared" si="1"/>
        <v/>
      </c>
      <c r="I21" s="39" t="s">
        <v>81</v>
      </c>
    </row>
    <row r="22" spans="1:9">
      <c r="A22" s="39" t="s">
        <v>81</v>
      </c>
      <c r="B22" s="39" t="s">
        <v>81</v>
      </c>
      <c r="C22" s="39" t="s">
        <v>81</v>
      </c>
      <c r="D22" s="39" t="s">
        <v>81</v>
      </c>
      <c r="E22" s="39" t="s">
        <v>81</v>
      </c>
      <c r="F22" s="41" t="str">
        <f t="shared" si="0"/>
        <v/>
      </c>
      <c r="G22" s="39" t="s">
        <v>81</v>
      </c>
      <c r="H22" s="41" t="str">
        <f t="shared" si="1"/>
        <v/>
      </c>
      <c r="I22" s="39" t="s">
        <v>81</v>
      </c>
    </row>
    <row r="23" spans="1:9">
      <c r="A23" s="39" t="s">
        <v>81</v>
      </c>
      <c r="B23" s="39" t="s">
        <v>81</v>
      </c>
      <c r="C23" s="39" t="s">
        <v>81</v>
      </c>
      <c r="D23" s="39" t="s">
        <v>81</v>
      </c>
      <c r="E23" s="39" t="s">
        <v>81</v>
      </c>
      <c r="F23" s="41" t="str">
        <f t="shared" si="0"/>
        <v/>
      </c>
      <c r="G23" s="39" t="s">
        <v>81</v>
      </c>
      <c r="H23" s="41" t="str">
        <f t="shared" si="1"/>
        <v/>
      </c>
      <c r="I23" s="39" t="s">
        <v>81</v>
      </c>
    </row>
  </sheetData>
  <mergeCells count="2">
    <mergeCell ref="A1:N1"/>
    <mergeCell ref="K3:N3"/>
  </mergeCells>
  <dataValidations count="1">
    <dataValidation type="list" allowBlank="1" sqref="A4:A23" xr:uid="{BED48CD9-910B-4779-B12D-18DB1D5D219C}">
      <formula1>"AC,DC"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zoomScale="160" zoomScaleNormal="160" workbookViewId="0">
      <selection activeCell="B9" sqref="B9"/>
    </sheetView>
  </sheetViews>
  <sheetFormatPr baseColWidth="10" defaultColWidth="9.21875" defaultRowHeight="14.4"/>
  <cols>
    <col min="1" max="1" width="16" customWidth="1"/>
    <col min="2" max="2" width="14.33203125" bestFit="1" customWidth="1"/>
    <col min="3" max="3" width="17.44140625" bestFit="1" customWidth="1"/>
    <col min="4" max="4" width="11.21875" bestFit="1" customWidth="1"/>
    <col min="6" max="6" width="30.21875" customWidth="1"/>
    <col min="7" max="7" width="7.21875" bestFit="1" customWidth="1"/>
  </cols>
  <sheetData>
    <row r="1" spans="1:8" ht="22.05" customHeight="1">
      <c r="A1" s="32" t="s">
        <v>75</v>
      </c>
      <c r="B1" s="33"/>
      <c r="C1" s="33"/>
      <c r="D1" s="34"/>
    </row>
    <row r="2" spans="1:8" ht="22.05" customHeight="1"/>
    <row r="3" spans="1:8" ht="22.05" customHeight="1">
      <c r="A3" s="2" t="s">
        <v>76</v>
      </c>
      <c r="B3" s="2" t="s">
        <v>77</v>
      </c>
      <c r="C3" s="2" t="s">
        <v>78</v>
      </c>
      <c r="D3" s="2" t="s">
        <v>15</v>
      </c>
      <c r="F3" s="32" t="s">
        <v>79</v>
      </c>
      <c r="G3" s="33"/>
      <c r="H3" s="34"/>
    </row>
    <row r="4" spans="1:8">
      <c r="A4" s="3" t="s">
        <v>80</v>
      </c>
      <c r="B4" s="4">
        <v>1450</v>
      </c>
      <c r="C4" s="4">
        <v>7350</v>
      </c>
      <c r="D4" s="4" t="s">
        <v>81</v>
      </c>
      <c r="F4" s="2" t="s">
        <v>82</v>
      </c>
      <c r="G4" s="2" t="s">
        <v>13</v>
      </c>
      <c r="H4" s="2" t="s">
        <v>14</v>
      </c>
    </row>
    <row r="5" spans="1:8">
      <c r="A5" s="3" t="s">
        <v>83</v>
      </c>
      <c r="B5" s="4">
        <v>1320</v>
      </c>
      <c r="C5" s="4">
        <v>7350</v>
      </c>
      <c r="D5" s="4" t="s">
        <v>81</v>
      </c>
      <c r="F5" s="3" t="s">
        <v>84</v>
      </c>
      <c r="G5" s="19">
        <f>SUM(B4:B15)</f>
        <v>17530</v>
      </c>
      <c r="H5" s="3" t="s">
        <v>85</v>
      </c>
    </row>
    <row r="6" spans="1:8" ht="17.25" customHeight="1">
      <c r="A6" s="3" t="s">
        <v>86</v>
      </c>
      <c r="B6" s="4">
        <v>1380</v>
      </c>
      <c r="C6" s="4">
        <v>7350</v>
      </c>
      <c r="D6" s="4" t="s">
        <v>81</v>
      </c>
      <c r="F6" s="3" t="s">
        <v>87</v>
      </c>
      <c r="G6" s="19">
        <f>+B11</f>
        <v>1600</v>
      </c>
      <c r="H6" s="3" t="s">
        <v>88</v>
      </c>
    </row>
    <row r="7" spans="1:8">
      <c r="A7" s="3" t="s">
        <v>89</v>
      </c>
      <c r="B7" s="4">
        <v>1400</v>
      </c>
      <c r="C7" s="4">
        <v>7350</v>
      </c>
      <c r="D7" s="4" t="s">
        <v>81</v>
      </c>
      <c r="F7" s="3" t="s">
        <v>90</v>
      </c>
      <c r="G7" s="19">
        <f>G6/30</f>
        <v>53.333333333333336</v>
      </c>
      <c r="H7" s="3" t="s">
        <v>91</v>
      </c>
    </row>
    <row r="8" spans="1:8">
      <c r="A8" s="3" t="s">
        <v>92</v>
      </c>
      <c r="B8" s="4">
        <v>1420</v>
      </c>
      <c r="C8" s="4">
        <v>7350</v>
      </c>
      <c r="D8" s="4" t="s">
        <v>81</v>
      </c>
      <c r="F8" s="3" t="s">
        <v>93</v>
      </c>
      <c r="G8" s="19">
        <f>G5*Inputs!$B$9</f>
        <v>17530</v>
      </c>
      <c r="H8" s="3" t="s">
        <v>85</v>
      </c>
    </row>
    <row r="9" spans="1:8">
      <c r="A9" s="3" t="s">
        <v>94</v>
      </c>
      <c r="B9" s="4">
        <v>1500</v>
      </c>
      <c r="C9" s="4">
        <v>7350</v>
      </c>
      <c r="D9" s="4" t="s">
        <v>81</v>
      </c>
      <c r="F9" s="14" t="s">
        <v>95</v>
      </c>
      <c r="G9" s="19">
        <f>G8/365</f>
        <v>48.027397260273972</v>
      </c>
      <c r="H9" s="3" t="s">
        <v>91</v>
      </c>
    </row>
    <row r="10" spans="1:8">
      <c r="A10" s="3" t="s">
        <v>96</v>
      </c>
      <c r="B10" s="4">
        <v>1550</v>
      </c>
      <c r="C10" s="4">
        <v>7350</v>
      </c>
      <c r="D10" s="4" t="s">
        <v>81</v>
      </c>
    </row>
    <row r="11" spans="1:8">
      <c r="A11" s="3" t="s">
        <v>97</v>
      </c>
      <c r="B11" s="4">
        <v>1600</v>
      </c>
      <c r="C11" s="4">
        <v>7350</v>
      </c>
      <c r="D11" s="4" t="s">
        <v>81</v>
      </c>
    </row>
    <row r="12" spans="1:8">
      <c r="A12" s="3" t="s">
        <v>98</v>
      </c>
      <c r="B12" s="4">
        <v>1520</v>
      </c>
      <c r="C12" s="4">
        <v>7350</v>
      </c>
      <c r="D12" s="4" t="s">
        <v>81</v>
      </c>
    </row>
    <row r="13" spans="1:8">
      <c r="A13" s="3" t="s">
        <v>99</v>
      </c>
      <c r="B13" s="4">
        <v>1490</v>
      </c>
      <c r="C13" s="4">
        <v>7350</v>
      </c>
      <c r="D13" s="4" t="s">
        <v>81</v>
      </c>
    </row>
    <row r="14" spans="1:8">
      <c r="A14" s="3" t="s">
        <v>100</v>
      </c>
      <c r="B14" s="4">
        <v>1460</v>
      </c>
      <c r="C14" s="4">
        <v>7350</v>
      </c>
      <c r="D14" s="4" t="s">
        <v>81</v>
      </c>
    </row>
    <row r="15" spans="1:8">
      <c r="A15" s="3" t="s">
        <v>101</v>
      </c>
      <c r="B15" s="4">
        <v>1440</v>
      </c>
      <c r="C15" s="4">
        <v>7350</v>
      </c>
      <c r="D15" s="4" t="s">
        <v>81</v>
      </c>
    </row>
    <row r="16" spans="1:8">
      <c r="B16" t="s">
        <v>246</v>
      </c>
    </row>
  </sheetData>
  <mergeCells count="2">
    <mergeCell ref="A1:D1"/>
    <mergeCell ref="F3:H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3"/>
  <sheetViews>
    <sheetView topLeftCell="A2" zoomScale="130" zoomScaleNormal="130" workbookViewId="0">
      <selection activeCell="B27" sqref="B27"/>
    </sheetView>
  </sheetViews>
  <sheetFormatPr baseColWidth="10" defaultColWidth="9.21875" defaultRowHeight="14.4"/>
  <cols>
    <col min="1" max="1" width="7" customWidth="1"/>
    <col min="2" max="2" width="38.33203125" bestFit="1" customWidth="1"/>
    <col min="3" max="3" width="32.21875" bestFit="1" customWidth="1"/>
    <col min="4" max="4" width="16" style="12" customWidth="1"/>
    <col min="5" max="5" width="12" style="12" customWidth="1"/>
    <col min="6" max="6" width="4.77734375" customWidth="1"/>
    <col min="7" max="7" width="34.21875" customWidth="1"/>
    <col min="8" max="8" width="37.77734375" customWidth="1"/>
    <col min="9" max="9" width="14" customWidth="1"/>
    <col min="10" max="10" width="22" customWidth="1"/>
  </cols>
  <sheetData>
    <row r="1" spans="1:10" ht="22.05" customHeight="1">
      <c r="A1" s="32" t="s">
        <v>102</v>
      </c>
      <c r="B1" s="33"/>
      <c r="C1" s="33"/>
      <c r="D1" s="33"/>
      <c r="E1" s="33"/>
      <c r="F1" s="33"/>
      <c r="G1" s="33"/>
      <c r="H1" s="33"/>
      <c r="I1" s="33"/>
      <c r="J1" s="34"/>
    </row>
    <row r="2" spans="1:10" ht="22.05" customHeight="1"/>
    <row r="3" spans="1:10">
      <c r="A3" s="2" t="s">
        <v>103</v>
      </c>
      <c r="B3" s="2" t="s">
        <v>21</v>
      </c>
      <c r="C3" s="2" t="s">
        <v>104</v>
      </c>
      <c r="D3" s="2" t="s">
        <v>105</v>
      </c>
      <c r="E3" s="2" t="s">
        <v>14</v>
      </c>
      <c r="G3" s="32" t="s">
        <v>106</v>
      </c>
      <c r="H3" s="33"/>
      <c r="I3" s="33"/>
      <c r="J3" s="34"/>
    </row>
    <row r="4" spans="1:10">
      <c r="A4" s="3">
        <v>1</v>
      </c>
      <c r="B4" s="6" t="s">
        <v>107</v>
      </c>
      <c r="C4" s="3" t="s">
        <v>108</v>
      </c>
      <c r="D4" s="11">
        <f>Consumo!G9/(MIN(Recurso!B4:B15)*Inputs!$B$10)</f>
        <v>11.327216334970275</v>
      </c>
      <c r="E4" s="13" t="s">
        <v>52</v>
      </c>
      <c r="G4" s="2" t="s">
        <v>109</v>
      </c>
      <c r="H4" s="9" t="s">
        <v>110</v>
      </c>
      <c r="I4" s="2" t="s">
        <v>105</v>
      </c>
      <c r="J4" s="2" t="s">
        <v>111</v>
      </c>
    </row>
    <row r="5" spans="1:10">
      <c r="A5" s="3">
        <v>2</v>
      </c>
      <c r="B5" s="6" t="s">
        <v>112</v>
      </c>
      <c r="C5" s="3" t="s">
        <v>113</v>
      </c>
      <c r="D5" s="11">
        <f>Consumo!G9/(AVERAGE(Recurso!B4:B15)*Inputs!$B$10)</f>
        <v>10.516948305169484</v>
      </c>
      <c r="E5" s="13" t="s">
        <v>52</v>
      </c>
      <c r="G5" s="3" t="s">
        <v>114</v>
      </c>
      <c r="H5" s="10" t="s">
        <v>115</v>
      </c>
      <c r="I5" s="7" t="b">
        <f>D15&lt;=Inputs!$G$15</f>
        <v>1</v>
      </c>
      <c r="J5" s="8" t="str">
        <f>IF(I5,"Cumple","No cumple")</f>
        <v>Cumple</v>
      </c>
    </row>
    <row r="6" spans="1:10">
      <c r="A6" s="3">
        <v>3</v>
      </c>
      <c r="B6" s="23" t="s">
        <v>116</v>
      </c>
      <c r="C6" s="23" t="s">
        <v>117</v>
      </c>
      <c r="D6" s="24">
        <f>Inputs!$G$5/1000</f>
        <v>0.63</v>
      </c>
      <c r="E6" s="25" t="s">
        <v>52</v>
      </c>
      <c r="G6" s="3" t="s">
        <v>118</v>
      </c>
      <c r="H6" s="10" t="s">
        <v>119</v>
      </c>
      <c r="I6" s="7" t="b">
        <f>AND(D16&gt;=Inputs!$G$13,D16&lt;=Inputs!$G$14)</f>
        <v>1</v>
      </c>
      <c r="J6" s="8" t="str">
        <f>IF(I6,"Cumple","No cumple")</f>
        <v>Cumple</v>
      </c>
    </row>
    <row r="7" spans="1:10">
      <c r="A7" s="3">
        <v>4</v>
      </c>
      <c r="B7" s="6" t="s">
        <v>120</v>
      </c>
      <c r="C7" s="3" t="s">
        <v>121</v>
      </c>
      <c r="D7" s="11">
        <f>D4/D6</f>
        <v>17.979708468206788</v>
      </c>
      <c r="E7" s="13" t="s">
        <v>122</v>
      </c>
      <c r="G7" s="3" t="s">
        <v>123</v>
      </c>
      <c r="H7" s="10" t="s">
        <v>124</v>
      </c>
      <c r="I7" s="7" t="b">
        <f>D9&lt;=D17</f>
        <v>1</v>
      </c>
      <c r="J7" s="8" t="str">
        <f>IF(I7,"Cumple","No cumple")</f>
        <v>Cumple</v>
      </c>
    </row>
    <row r="8" spans="1:10">
      <c r="A8" s="3">
        <v>5</v>
      </c>
      <c r="B8" s="23" t="s">
        <v>125</v>
      </c>
      <c r="C8" s="23" t="s">
        <v>126</v>
      </c>
      <c r="D8" s="24">
        <f>ROUNDUP(D7,0)</f>
        <v>18</v>
      </c>
      <c r="E8" s="25" t="s">
        <v>122</v>
      </c>
      <c r="G8" s="3" t="s">
        <v>127</v>
      </c>
      <c r="H8" s="10" t="s">
        <v>128</v>
      </c>
      <c r="I8" s="7" t="b">
        <f>D9&gt;=D18</f>
        <v>1</v>
      </c>
      <c r="J8" s="8" t="str">
        <f>IF(I8,"Cumple","No cumple")</f>
        <v>Cumple</v>
      </c>
    </row>
    <row r="9" spans="1:10">
      <c r="A9" s="3">
        <v>6</v>
      </c>
      <c r="B9" s="6" t="s">
        <v>70</v>
      </c>
      <c r="C9" s="3" t="s">
        <v>117</v>
      </c>
      <c r="D9" s="11">
        <f>Inputs!$G$21</f>
        <v>9</v>
      </c>
      <c r="E9" s="13" t="s">
        <v>122</v>
      </c>
      <c r="G9" s="3" t="s">
        <v>129</v>
      </c>
      <c r="H9" s="10" t="s">
        <v>130</v>
      </c>
      <c r="I9" s="7" t="b">
        <f>D21&lt;=Inputs!$G$17</f>
        <v>1</v>
      </c>
      <c r="J9" s="8" t="str">
        <f>IF(I9,"Cumple","No cumple")</f>
        <v>Cumple</v>
      </c>
    </row>
    <row r="10" spans="1:10">
      <c r="A10" s="3">
        <v>7</v>
      </c>
      <c r="B10" s="6" t="s">
        <v>131</v>
      </c>
      <c r="C10" s="3" t="s">
        <v>126</v>
      </c>
      <c r="D10" s="11">
        <f>ROUNDUP(D8/D9,0)</f>
        <v>2</v>
      </c>
      <c r="E10" s="13" t="s">
        <v>132</v>
      </c>
      <c r="G10" s="3" t="s">
        <v>133</v>
      </c>
      <c r="H10" s="10" t="s">
        <v>134</v>
      </c>
      <c r="I10" s="7" t="b">
        <f>AND(D23&gt;=1,D23&lt;=1.3)</f>
        <v>1</v>
      </c>
      <c r="J10" s="8" t="str">
        <f>IF(I10,"Cumple","Revisar")</f>
        <v>Cumple</v>
      </c>
    </row>
    <row r="11" spans="1:10">
      <c r="A11" s="3">
        <v>8</v>
      </c>
      <c r="B11" s="6" t="s">
        <v>135</v>
      </c>
      <c r="C11" s="3" t="s">
        <v>136</v>
      </c>
      <c r="D11" s="11">
        <f>D9*D10</f>
        <v>18</v>
      </c>
      <c r="E11" s="13" t="s">
        <v>122</v>
      </c>
    </row>
    <row r="12" spans="1:10">
      <c r="A12" s="3">
        <v>9</v>
      </c>
      <c r="B12" s="6" t="s">
        <v>137</v>
      </c>
      <c r="C12" s="3" t="s">
        <v>138</v>
      </c>
      <c r="D12" s="11">
        <f>D11*Inputs!$G$5/1000</f>
        <v>11.34</v>
      </c>
      <c r="E12" s="13" t="s">
        <v>139</v>
      </c>
    </row>
    <row r="13" spans="1:10">
      <c r="A13" s="3">
        <v>10</v>
      </c>
      <c r="B13" s="6" t="s">
        <v>140</v>
      </c>
      <c r="C13" s="3" t="s">
        <v>141</v>
      </c>
      <c r="D13" s="11">
        <f>Inputs!$G$7*(1+Inputs!$G$10*(25-Inputs!$B$11))</f>
        <v>51.558160000000001</v>
      </c>
      <c r="E13" s="13" t="s">
        <v>29</v>
      </c>
    </row>
    <row r="14" spans="1:10">
      <c r="A14" s="3">
        <v>11</v>
      </c>
      <c r="B14" s="6" t="s">
        <v>142</v>
      </c>
      <c r="C14" s="3" t="s">
        <v>143</v>
      </c>
      <c r="D14" s="11">
        <f>Inputs!$G$6*(1-Inputs!$G$11*(Inputs!$B$12-25))</f>
        <v>38.558799999999998</v>
      </c>
      <c r="E14" s="13" t="s">
        <v>29</v>
      </c>
    </row>
    <row r="15" spans="1:10">
      <c r="A15" s="3">
        <v>12</v>
      </c>
      <c r="B15" s="6" t="s">
        <v>144</v>
      </c>
      <c r="C15" s="3" t="s">
        <v>145</v>
      </c>
      <c r="D15" s="11">
        <f>D13*D9</f>
        <v>464.02343999999999</v>
      </c>
      <c r="E15" s="13" t="s">
        <v>29</v>
      </c>
    </row>
    <row r="16" spans="1:10">
      <c r="A16" s="3">
        <v>13</v>
      </c>
      <c r="B16" s="6" t="s">
        <v>146</v>
      </c>
      <c r="C16" s="3" t="s">
        <v>147</v>
      </c>
      <c r="D16" s="11">
        <f>D14*D9</f>
        <v>347.0292</v>
      </c>
      <c r="E16" s="13" t="s">
        <v>29</v>
      </c>
    </row>
    <row r="17" spans="1:5">
      <c r="A17" s="3">
        <v>14</v>
      </c>
      <c r="B17" s="6" t="s">
        <v>148</v>
      </c>
      <c r="C17" s="3" t="s">
        <v>149</v>
      </c>
      <c r="D17" s="11">
        <f>ROUNDDOWN(Inputs!$G$15/D13,0)</f>
        <v>15</v>
      </c>
      <c r="E17" s="13" t="s">
        <v>122</v>
      </c>
    </row>
    <row r="18" spans="1:5">
      <c r="A18" s="3">
        <v>15</v>
      </c>
      <c r="B18" s="6" t="s">
        <v>150</v>
      </c>
      <c r="C18" s="3" t="s">
        <v>151</v>
      </c>
      <c r="D18" s="11">
        <f>ROUNDUP(Inputs!$G$13/D14,0)</f>
        <v>6</v>
      </c>
      <c r="E18" s="13" t="s">
        <v>122</v>
      </c>
    </row>
    <row r="19" spans="1:5">
      <c r="A19" s="3">
        <v>16</v>
      </c>
      <c r="B19" s="6" t="s">
        <v>152</v>
      </c>
      <c r="C19" s="3" t="s">
        <v>40</v>
      </c>
      <c r="D19" s="11">
        <f>Inputs!$G$9</f>
        <v>16.2</v>
      </c>
      <c r="E19" s="13" t="s">
        <v>36</v>
      </c>
    </row>
    <row r="20" spans="1:5">
      <c r="A20" s="3">
        <v>17</v>
      </c>
      <c r="B20" s="6" t="s">
        <v>153</v>
      </c>
      <c r="C20" s="3" t="s">
        <v>154</v>
      </c>
      <c r="D20" s="11">
        <f>D19*D10</f>
        <v>32.4</v>
      </c>
      <c r="E20" s="13" t="s">
        <v>36</v>
      </c>
    </row>
    <row r="21" spans="1:5">
      <c r="A21" s="3">
        <v>18</v>
      </c>
      <c r="B21" s="6" t="s">
        <v>155</v>
      </c>
      <c r="C21" s="3" t="s">
        <v>156</v>
      </c>
      <c r="D21" s="11">
        <f>IF(Inputs!$G$16&gt;0,D20/Inputs!$G$16,D20)</f>
        <v>8.1</v>
      </c>
      <c r="E21" s="13" t="s">
        <v>36</v>
      </c>
    </row>
    <row r="22" spans="1:5">
      <c r="A22" s="3">
        <v>19</v>
      </c>
      <c r="B22" s="6" t="s">
        <v>157</v>
      </c>
      <c r="C22" s="3" t="s">
        <v>158</v>
      </c>
      <c r="D22" s="11">
        <f>Inputs!$G$12*1000/(Inputs!$B$7*Inputs!$B$8)</f>
        <v>45.454545454545453</v>
      </c>
      <c r="E22" s="13" t="s">
        <v>36</v>
      </c>
    </row>
    <row r="23" spans="1:5">
      <c r="A23" s="3">
        <v>20</v>
      </c>
      <c r="B23" s="6" t="s">
        <v>159</v>
      </c>
      <c r="C23" s="3" t="s">
        <v>160</v>
      </c>
      <c r="D23" s="11">
        <f>D12/Inputs!$G$12</f>
        <v>1.1339999999999999</v>
      </c>
      <c r="E23" s="13" t="s">
        <v>19</v>
      </c>
    </row>
  </sheetData>
  <mergeCells count="2">
    <mergeCell ref="A1:J1"/>
    <mergeCell ref="G3:J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5"/>
  <sheetViews>
    <sheetView zoomScale="115" zoomScaleNormal="115" workbookViewId="0">
      <selection activeCell="B5" sqref="B5"/>
    </sheetView>
  </sheetViews>
  <sheetFormatPr baseColWidth="10" defaultColWidth="9.21875" defaultRowHeight="14.4"/>
  <cols>
    <col min="1" max="1" width="16" customWidth="1"/>
    <col min="2" max="2" width="14" customWidth="1"/>
    <col min="3" max="3" width="18" customWidth="1"/>
    <col min="5" max="5" width="17.77734375" customWidth="1"/>
    <col min="6" max="6" width="13.77734375" customWidth="1"/>
  </cols>
  <sheetData>
    <row r="1" spans="1:7" ht="22.05" customHeight="1">
      <c r="A1" s="32" t="s">
        <v>161</v>
      </c>
      <c r="B1" s="33"/>
      <c r="C1" s="34"/>
    </row>
    <row r="2" spans="1:7" ht="22.05" customHeight="1"/>
    <row r="3" spans="1:7" ht="22.05" customHeight="1">
      <c r="A3" s="2" t="s">
        <v>76</v>
      </c>
      <c r="B3" s="2" t="s">
        <v>162</v>
      </c>
      <c r="C3" s="2" t="s">
        <v>163</v>
      </c>
      <c r="E3" s="32" t="s">
        <v>79</v>
      </c>
      <c r="F3" s="33"/>
      <c r="G3" s="34"/>
    </row>
    <row r="4" spans="1:7" ht="22.05" customHeight="1">
      <c r="A4" s="3" t="s">
        <v>80</v>
      </c>
      <c r="B4" s="15">
        <v>5.3</v>
      </c>
      <c r="C4" s="4" t="s">
        <v>20</v>
      </c>
      <c r="E4" s="2" t="s">
        <v>82</v>
      </c>
      <c r="F4" s="2" t="s">
        <v>13</v>
      </c>
      <c r="G4" s="2" t="s">
        <v>14</v>
      </c>
    </row>
    <row r="5" spans="1:7" ht="22.05" customHeight="1">
      <c r="A5" s="3" t="s">
        <v>83</v>
      </c>
      <c r="B5" s="15">
        <v>5.4</v>
      </c>
      <c r="C5" s="4" t="s">
        <v>20</v>
      </c>
      <c r="E5" s="3" t="s">
        <v>164</v>
      </c>
      <c r="F5" s="7">
        <f>MIN(B4:B15)</f>
        <v>5.3</v>
      </c>
      <c r="G5" s="3" t="s">
        <v>165</v>
      </c>
    </row>
    <row r="6" spans="1:7" ht="22.05" customHeight="1">
      <c r="A6" s="3" t="s">
        <v>86</v>
      </c>
      <c r="B6" s="15">
        <v>5.6</v>
      </c>
      <c r="C6" s="4" t="s">
        <v>20</v>
      </c>
      <c r="E6" s="3" t="s">
        <v>166</v>
      </c>
      <c r="F6" s="5">
        <f>AVERAGE(B4:B15)</f>
        <v>5.708333333333333</v>
      </c>
      <c r="G6" s="3" t="s">
        <v>165</v>
      </c>
    </row>
    <row r="7" spans="1:7" ht="22.05" customHeight="1">
      <c r="A7" s="3" t="s">
        <v>89</v>
      </c>
      <c r="B7" s="15">
        <v>5.8</v>
      </c>
      <c r="C7" s="4" t="s">
        <v>20</v>
      </c>
      <c r="E7" s="3" t="s">
        <v>167</v>
      </c>
      <c r="F7" s="7">
        <f>MAX(B4:B15)</f>
        <v>6.1</v>
      </c>
      <c r="G7" s="3" t="s">
        <v>165</v>
      </c>
    </row>
    <row r="8" spans="1:7" ht="22.05" customHeight="1">
      <c r="A8" s="3" t="s">
        <v>92</v>
      </c>
      <c r="B8" s="15">
        <v>5.9</v>
      </c>
      <c r="C8" s="4" t="s">
        <v>20</v>
      </c>
    </row>
    <row r="9" spans="1:7" ht="22.05" customHeight="1">
      <c r="A9" s="3" t="s">
        <v>94</v>
      </c>
      <c r="B9" s="15">
        <v>6</v>
      </c>
      <c r="C9" s="4" t="s">
        <v>20</v>
      </c>
    </row>
    <row r="10" spans="1:7" ht="22.05" customHeight="1">
      <c r="A10" s="3" t="s">
        <v>96</v>
      </c>
      <c r="B10" s="15">
        <v>6.1</v>
      </c>
      <c r="C10" s="4" t="s">
        <v>20</v>
      </c>
    </row>
    <row r="11" spans="1:7" ht="22.05" customHeight="1">
      <c r="A11" s="3" t="s">
        <v>97</v>
      </c>
      <c r="B11" s="15">
        <v>6</v>
      </c>
      <c r="C11" s="4" t="s">
        <v>20</v>
      </c>
    </row>
    <row r="12" spans="1:7" ht="22.05" customHeight="1">
      <c r="A12" s="3" t="s">
        <v>98</v>
      </c>
      <c r="B12" s="15">
        <v>5.8</v>
      </c>
      <c r="C12" s="4" t="s">
        <v>20</v>
      </c>
    </row>
    <row r="13" spans="1:7" ht="22.05" customHeight="1">
      <c r="A13" s="3" t="s">
        <v>99</v>
      </c>
      <c r="B13" s="15">
        <v>5.7</v>
      </c>
      <c r="C13" s="4" t="s">
        <v>20</v>
      </c>
    </row>
    <row r="14" spans="1:7" ht="22.05" customHeight="1">
      <c r="A14" s="3" t="s">
        <v>100</v>
      </c>
      <c r="B14" s="15">
        <v>5.5</v>
      </c>
      <c r="C14" s="4" t="s">
        <v>20</v>
      </c>
    </row>
    <row r="15" spans="1:7" ht="22.05" customHeight="1">
      <c r="A15" s="3" t="s">
        <v>101</v>
      </c>
      <c r="B15" s="15">
        <v>5.4</v>
      </c>
      <c r="C15" s="4" t="s">
        <v>20</v>
      </c>
    </row>
  </sheetData>
  <mergeCells count="2">
    <mergeCell ref="A1:C1"/>
    <mergeCell ref="E3:G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1"/>
  <sheetViews>
    <sheetView zoomScale="130" zoomScaleNormal="130" workbookViewId="0">
      <selection activeCell="A21" sqref="A21"/>
    </sheetView>
  </sheetViews>
  <sheetFormatPr baseColWidth="10" defaultColWidth="9.21875" defaultRowHeight="14.4"/>
  <cols>
    <col min="1" max="1" width="26.33203125" bestFit="1" customWidth="1"/>
    <col min="2" max="2" width="32.77734375" customWidth="1"/>
    <col min="3" max="3" width="9.21875" style="12" bestFit="1" customWidth="1"/>
    <col min="4" max="4" width="18" style="12" customWidth="1"/>
    <col min="5" max="6" width="18" customWidth="1"/>
    <col min="8" max="8" width="16.77734375" customWidth="1"/>
    <col min="10" max="10" width="19" customWidth="1"/>
    <col min="11" max="11" width="15.21875" customWidth="1"/>
  </cols>
  <sheetData>
    <row r="1" spans="1:11" ht="22.05" customHeight="1">
      <c r="A1" s="32" t="s">
        <v>168</v>
      </c>
      <c r="B1" s="33"/>
      <c r="C1" s="33"/>
      <c r="D1" s="33"/>
      <c r="E1" s="33"/>
      <c r="F1" s="34"/>
    </row>
    <row r="2" spans="1:11" ht="22.05" customHeight="1"/>
    <row r="3" spans="1:11" ht="22.05" customHeight="1">
      <c r="A3" s="2" t="s">
        <v>169</v>
      </c>
      <c r="B3" s="2" t="s">
        <v>104</v>
      </c>
      <c r="C3" s="2" t="s">
        <v>105</v>
      </c>
      <c r="D3" s="2" t="s">
        <v>14</v>
      </c>
      <c r="E3" s="2" t="s">
        <v>170</v>
      </c>
      <c r="F3" s="2" t="s">
        <v>15</v>
      </c>
      <c r="H3" s="32" t="s">
        <v>171</v>
      </c>
      <c r="I3" s="33"/>
      <c r="J3" s="33"/>
      <c r="K3" s="34"/>
    </row>
    <row r="4" spans="1:11">
      <c r="A4" s="3" t="s">
        <v>172</v>
      </c>
      <c r="B4" s="3" t="s">
        <v>173</v>
      </c>
      <c r="C4" s="11">
        <f>Inputs!$B$17*Calculos!D19</f>
        <v>0.32400000000000001</v>
      </c>
      <c r="D4" s="13" t="s">
        <v>36</v>
      </c>
      <c r="E4" s="4" t="s">
        <v>81</v>
      </c>
      <c r="F4" s="3" t="s">
        <v>174</v>
      </c>
      <c r="H4" s="2" t="s">
        <v>175</v>
      </c>
      <c r="I4" s="2" t="s">
        <v>176</v>
      </c>
      <c r="J4" s="2" t="s">
        <v>177</v>
      </c>
      <c r="K4" s="2" t="s">
        <v>178</v>
      </c>
    </row>
    <row r="5" spans="1:11">
      <c r="A5" s="3" t="s">
        <v>179</v>
      </c>
      <c r="B5" s="3" t="s">
        <v>180</v>
      </c>
      <c r="C5" s="11">
        <f>Inputs!$B$17*Calculos!D20</f>
        <v>0.64800000000000002</v>
      </c>
      <c r="D5" s="13" t="s">
        <v>36</v>
      </c>
      <c r="E5" s="4" t="s">
        <v>81</v>
      </c>
      <c r="F5" s="3" t="s">
        <v>174</v>
      </c>
      <c r="H5" s="3" t="s">
        <v>181</v>
      </c>
      <c r="I5" s="3" t="s">
        <v>182</v>
      </c>
      <c r="J5" s="3" t="s">
        <v>183</v>
      </c>
      <c r="K5" s="3" t="s">
        <v>184</v>
      </c>
    </row>
    <row r="6" spans="1:11" ht="28.8">
      <c r="A6" s="3" t="s">
        <v>185</v>
      </c>
      <c r="B6" s="3" t="s">
        <v>186</v>
      </c>
      <c r="C6" s="11">
        <f>Calculos!D20</f>
        <v>32.4</v>
      </c>
      <c r="D6" s="13" t="s">
        <v>36</v>
      </c>
      <c r="E6" s="4" t="s">
        <v>81</v>
      </c>
      <c r="F6" s="3" t="s">
        <v>187</v>
      </c>
      <c r="H6" s="3" t="s">
        <v>185</v>
      </c>
      <c r="I6" s="3" t="s">
        <v>182</v>
      </c>
      <c r="J6" s="3" t="s">
        <v>188</v>
      </c>
      <c r="K6" s="3" t="s">
        <v>189</v>
      </c>
    </row>
    <row r="7" spans="1:11">
      <c r="A7" s="3" t="s">
        <v>190</v>
      </c>
      <c r="B7" s="3" t="s">
        <v>191</v>
      </c>
      <c r="C7" s="11">
        <f>Inputs!$B$19*Calculos!D15</f>
        <v>580.02930000000003</v>
      </c>
      <c r="D7" s="13" t="s">
        <v>29</v>
      </c>
      <c r="E7" s="4" t="s">
        <v>81</v>
      </c>
      <c r="F7" s="3" t="s">
        <v>192</v>
      </c>
      <c r="H7" s="3" t="s">
        <v>193</v>
      </c>
      <c r="I7" s="3" t="s">
        <v>182</v>
      </c>
      <c r="J7" s="3" t="s">
        <v>194</v>
      </c>
      <c r="K7" s="3" t="s">
        <v>195</v>
      </c>
    </row>
    <row r="8" spans="1:11">
      <c r="A8" s="3" t="s">
        <v>196</v>
      </c>
      <c r="B8" s="3" t="s">
        <v>197</v>
      </c>
      <c r="C8" s="11">
        <f>Inputs!$B$18*Calculos!D22</f>
        <v>1.3636363636363635</v>
      </c>
      <c r="D8" s="13" t="s">
        <v>36</v>
      </c>
      <c r="E8" s="4" t="s">
        <v>81</v>
      </c>
      <c r="F8" s="3" t="s">
        <v>174</v>
      </c>
      <c r="H8" s="3" t="s">
        <v>198</v>
      </c>
      <c r="I8" s="3" t="s">
        <v>199</v>
      </c>
      <c r="J8" s="3" t="s">
        <v>200</v>
      </c>
      <c r="K8" s="3" t="s">
        <v>184</v>
      </c>
    </row>
    <row r="9" spans="1:11" ht="28.8">
      <c r="A9" s="3" t="s">
        <v>201</v>
      </c>
      <c r="B9" s="3" t="s">
        <v>202</v>
      </c>
      <c r="C9" s="11">
        <f>Calculos!D22</f>
        <v>45.454545454545453</v>
      </c>
      <c r="D9" s="13" t="s">
        <v>36</v>
      </c>
      <c r="E9" s="4" t="s">
        <v>81</v>
      </c>
      <c r="F9" s="3" t="s">
        <v>203</v>
      </c>
      <c r="H9" s="3" t="s">
        <v>204</v>
      </c>
      <c r="I9" s="3" t="s">
        <v>199</v>
      </c>
      <c r="J9" s="3" t="s">
        <v>205</v>
      </c>
      <c r="K9" s="3" t="s">
        <v>206</v>
      </c>
    </row>
    <row r="10" spans="1:11">
      <c r="A10" s="3" t="s">
        <v>207</v>
      </c>
      <c r="B10" s="3" t="s">
        <v>208</v>
      </c>
      <c r="C10" s="11" t="s">
        <v>81</v>
      </c>
      <c r="D10" s="13" t="s">
        <v>19</v>
      </c>
      <c r="E10" s="4" t="s">
        <v>81</v>
      </c>
      <c r="F10" s="3" t="s">
        <v>209</v>
      </c>
      <c r="H10" s="3" t="s">
        <v>193</v>
      </c>
      <c r="I10" s="3" t="s">
        <v>199</v>
      </c>
      <c r="J10" s="3" t="s">
        <v>194</v>
      </c>
      <c r="K10" s="3" t="s">
        <v>195</v>
      </c>
    </row>
    <row r="11" spans="1:11">
      <c r="A11" s="3" t="s">
        <v>210</v>
      </c>
      <c r="B11" s="3" t="s">
        <v>211</v>
      </c>
      <c r="C11" s="11">
        <f>Inputs!$B$20*Inputs!$B$7</f>
        <v>275</v>
      </c>
      <c r="D11" s="13" t="s">
        <v>29</v>
      </c>
      <c r="E11" s="4" t="s">
        <v>81</v>
      </c>
      <c r="F11" s="3" t="s">
        <v>192</v>
      </c>
    </row>
  </sheetData>
  <mergeCells count="2">
    <mergeCell ref="H3:K3"/>
    <mergeCell ref="A1:F1"/>
  </mergeCells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2"/>
  <sheetViews>
    <sheetView zoomScale="115" zoomScaleNormal="115" workbookViewId="0">
      <selection activeCell="B4" sqref="B4:B7"/>
    </sheetView>
  </sheetViews>
  <sheetFormatPr baseColWidth="10" defaultColWidth="9.21875" defaultRowHeight="14.4"/>
  <cols>
    <col min="1" max="1" width="27.77734375" customWidth="1"/>
    <col min="2" max="2" width="14.44140625" bestFit="1" customWidth="1"/>
    <col min="3" max="3" width="11.6640625" bestFit="1" customWidth="1"/>
    <col min="4" max="4" width="9.77734375" bestFit="1" customWidth="1"/>
    <col min="5" max="5" width="11.109375" bestFit="1" customWidth="1"/>
    <col min="6" max="6" width="16.77734375" bestFit="1" customWidth="1"/>
    <col min="7" max="7" width="18" customWidth="1"/>
  </cols>
  <sheetData>
    <row r="1" spans="1:7" ht="22.05" customHeight="1">
      <c r="A1" s="32" t="s">
        <v>212</v>
      </c>
      <c r="B1" s="33"/>
      <c r="C1" s="33"/>
      <c r="D1" s="33"/>
      <c r="E1" s="33"/>
      <c r="F1" s="33"/>
      <c r="G1" s="34"/>
    </row>
    <row r="2" spans="1:7" ht="22.05" customHeight="1"/>
    <row r="3" spans="1:7" ht="22.05" customHeight="1">
      <c r="A3" s="2" t="s">
        <v>213</v>
      </c>
      <c r="B3" s="2" t="s">
        <v>214</v>
      </c>
      <c r="C3" s="2" t="s">
        <v>215</v>
      </c>
      <c r="D3" s="2" t="s">
        <v>216</v>
      </c>
      <c r="E3" s="2" t="s">
        <v>217</v>
      </c>
      <c r="F3" s="2" t="s">
        <v>218</v>
      </c>
      <c r="G3" s="2" t="s">
        <v>219</v>
      </c>
    </row>
    <row r="4" spans="1:7" ht="22.05" customHeight="1">
      <c r="A4" s="3" t="s">
        <v>220</v>
      </c>
      <c r="B4" s="15">
        <v>15</v>
      </c>
      <c r="C4" s="21">
        <f>Calculos!D19</f>
        <v>16.2</v>
      </c>
      <c r="D4" s="11">
        <f>Calculos!D16</f>
        <v>347.0292</v>
      </c>
      <c r="E4" s="15">
        <f>Inputs!$B$17</f>
        <v>0.02</v>
      </c>
      <c r="F4" s="11">
        <f>IFERROR((2*B4*C4)/(56*(D4*E4)),"")</f>
        <v>1.2504093932976574</v>
      </c>
      <c r="G4" s="4" t="s">
        <v>81</v>
      </c>
    </row>
    <row r="5" spans="1:7" ht="22.05" customHeight="1">
      <c r="A5" s="3" t="s">
        <v>221</v>
      </c>
      <c r="B5" s="15">
        <v>20</v>
      </c>
      <c r="C5" s="21">
        <f>Calculos!D20</f>
        <v>32.4</v>
      </c>
      <c r="D5" s="11">
        <f>Calculos!D16</f>
        <v>347.0292</v>
      </c>
      <c r="E5" s="15">
        <f>Inputs!$B$17</f>
        <v>0.02</v>
      </c>
      <c r="F5" s="11">
        <f>IFERROR((2*B5*C5)/(56*(D5*E5)),"")</f>
        <v>3.334425048793753</v>
      </c>
      <c r="G5" s="4" t="s">
        <v>81</v>
      </c>
    </row>
    <row r="6" spans="1:7" ht="22.05" customHeight="1">
      <c r="A6" s="3" t="s">
        <v>222</v>
      </c>
      <c r="B6" s="15">
        <v>25</v>
      </c>
      <c r="C6" s="21">
        <f>Calculos!D22</f>
        <v>45.454545454545453</v>
      </c>
      <c r="D6" s="11">
        <f>Inputs!$B$7</f>
        <v>220</v>
      </c>
      <c r="E6" s="15">
        <f>Inputs!$B$18</f>
        <v>0.03</v>
      </c>
      <c r="F6" s="11">
        <f>IFERROR((2*B6*C6)/(56*(D6*E6)),"")</f>
        <v>6.1491538764266034</v>
      </c>
      <c r="G6" s="4" t="s">
        <v>81</v>
      </c>
    </row>
    <row r="7" spans="1:7" ht="22.05" customHeight="1">
      <c r="A7" s="3" t="s">
        <v>223</v>
      </c>
      <c r="B7" s="15">
        <v>20</v>
      </c>
      <c r="C7" s="21">
        <f>Calculos!D22</f>
        <v>45.454545454545453</v>
      </c>
      <c r="D7" s="11">
        <f>Inputs!$B$7</f>
        <v>220</v>
      </c>
      <c r="E7" s="15">
        <f>Inputs!$B$18</f>
        <v>0.03</v>
      </c>
      <c r="F7" s="11">
        <f>IFERROR((2*B7*C7)/(56*(D7*E7)),"")</f>
        <v>4.9193231011412832</v>
      </c>
      <c r="G7" s="4" t="s">
        <v>81</v>
      </c>
    </row>
    <row r="8" spans="1:7" ht="22.05" customHeight="1"/>
    <row r="9" spans="1:7" ht="22.05" customHeight="1"/>
    <row r="10" spans="1:7" ht="22.05" customHeight="1">
      <c r="A10" s="30" t="s">
        <v>224</v>
      </c>
      <c r="B10" s="28"/>
      <c r="C10" s="28"/>
      <c r="D10" s="28"/>
      <c r="E10" s="28"/>
      <c r="F10" s="28"/>
      <c r="G10" s="28"/>
    </row>
    <row r="11" spans="1:7" ht="22.05" customHeight="1">
      <c r="A11" s="28"/>
      <c r="B11" s="28"/>
      <c r="C11" s="28"/>
      <c r="D11" s="28"/>
      <c r="E11" s="28"/>
      <c r="F11" s="28"/>
      <c r="G11" s="28"/>
    </row>
    <row r="12" spans="1:7" ht="22.05" customHeight="1">
      <c r="A12" s="28"/>
      <c r="B12" s="28"/>
      <c r="C12" s="28"/>
      <c r="D12" s="28"/>
      <c r="E12" s="28"/>
      <c r="F12" s="28"/>
      <c r="G12" s="28"/>
    </row>
  </sheetData>
  <mergeCells count="2">
    <mergeCell ref="A10:G12"/>
    <mergeCell ref="A1:G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E27"/>
  <sheetViews>
    <sheetView showGridLines="0" topLeftCell="A3" zoomScale="130" zoomScaleNormal="130" workbookViewId="0">
      <selection activeCell="B22" sqref="B22:E27"/>
    </sheetView>
  </sheetViews>
  <sheetFormatPr baseColWidth="10" defaultColWidth="9.21875" defaultRowHeight="14.4"/>
  <cols>
    <col min="2" max="2" width="30" customWidth="1"/>
    <col min="3" max="3" width="16" customWidth="1"/>
    <col min="4" max="4" width="12" customWidth="1"/>
    <col min="5" max="5" width="24" customWidth="1"/>
  </cols>
  <sheetData>
    <row r="1" spans="2:5" ht="22.05" customHeight="1"/>
    <row r="2" spans="2:5" ht="22.05" customHeight="1">
      <c r="B2" s="32" t="s">
        <v>225</v>
      </c>
      <c r="C2" s="33"/>
      <c r="D2" s="33"/>
      <c r="E2" s="34"/>
    </row>
    <row r="3" spans="2:5" ht="22.05" customHeight="1"/>
    <row r="4" spans="2:5" ht="22.05" customHeight="1">
      <c r="B4" s="2" t="s">
        <v>82</v>
      </c>
      <c r="C4" s="2" t="s">
        <v>13</v>
      </c>
      <c r="D4" s="2" t="s">
        <v>14</v>
      </c>
      <c r="E4" s="2" t="s">
        <v>22</v>
      </c>
    </row>
    <row r="5" spans="2:5" ht="22.05" customHeight="1">
      <c r="B5" s="6" t="s">
        <v>84</v>
      </c>
      <c r="C5" s="11">
        <f>Consumo!G5</f>
        <v>17530</v>
      </c>
      <c r="D5" s="13" t="s">
        <v>85</v>
      </c>
      <c r="E5" s="3" t="s">
        <v>226</v>
      </c>
    </row>
    <row r="6" spans="2:5" ht="22.05" customHeight="1">
      <c r="B6" s="6" t="s">
        <v>227</v>
      </c>
      <c r="C6" s="11">
        <f>Consumo!G7</f>
        <v>53.333333333333336</v>
      </c>
      <c r="D6" s="13" t="s">
        <v>91</v>
      </c>
      <c r="E6" s="3" t="s">
        <v>228</v>
      </c>
    </row>
    <row r="7" spans="2:5" ht="22.05" customHeight="1">
      <c r="B7" s="6" t="s">
        <v>95</v>
      </c>
      <c r="C7" s="11">
        <f>Consumo!G9</f>
        <v>48.027397260273972</v>
      </c>
      <c r="D7" s="13" t="s">
        <v>91</v>
      </c>
      <c r="E7" s="3" t="s">
        <v>229</v>
      </c>
    </row>
    <row r="8" spans="2:5" ht="22.05" customHeight="1">
      <c r="B8" s="6" t="s">
        <v>107</v>
      </c>
      <c r="C8" s="11">
        <f>Calculos!D4</f>
        <v>11.327216334970275</v>
      </c>
      <c r="D8" s="13" t="s">
        <v>52</v>
      </c>
      <c r="E8" s="3" t="s">
        <v>230</v>
      </c>
    </row>
    <row r="9" spans="2:5" ht="22.05" customHeight="1">
      <c r="B9" s="6" t="s">
        <v>125</v>
      </c>
      <c r="C9" s="11">
        <f>Calculos!D8</f>
        <v>18</v>
      </c>
      <c r="D9" s="13" t="s">
        <v>57</v>
      </c>
      <c r="E9" s="3" t="s">
        <v>126</v>
      </c>
    </row>
    <row r="10" spans="2:5" ht="22.05" customHeight="1">
      <c r="B10" s="6" t="s">
        <v>231</v>
      </c>
      <c r="C10" s="11">
        <f>Calculos!D9</f>
        <v>9</v>
      </c>
      <c r="D10" s="13" t="s">
        <v>57</v>
      </c>
      <c r="E10" s="3" t="s">
        <v>232</v>
      </c>
    </row>
    <row r="11" spans="2:5" ht="22.05" customHeight="1">
      <c r="B11" s="6" t="s">
        <v>131</v>
      </c>
      <c r="C11" s="11">
        <f>Calculos!D10</f>
        <v>2</v>
      </c>
      <c r="D11" s="13" t="s">
        <v>57</v>
      </c>
      <c r="E11" s="3" t="s">
        <v>232</v>
      </c>
    </row>
    <row r="12" spans="2:5" ht="22.05" customHeight="1">
      <c r="B12" s="6" t="s">
        <v>137</v>
      </c>
      <c r="C12" s="11">
        <f>Calculos!D12</f>
        <v>11.34</v>
      </c>
      <c r="D12" s="13" t="s">
        <v>139</v>
      </c>
      <c r="E12" s="3" t="s">
        <v>233</v>
      </c>
    </row>
    <row r="13" spans="2:5" ht="22.05" customHeight="1">
      <c r="B13" s="6" t="s">
        <v>51</v>
      </c>
      <c r="C13" s="11">
        <f>Inputs!$G$12</f>
        <v>10</v>
      </c>
      <c r="D13" s="13" t="s">
        <v>52</v>
      </c>
      <c r="E13" s="3" t="s">
        <v>234</v>
      </c>
    </row>
    <row r="14" spans="2:5" ht="22.05" customHeight="1">
      <c r="B14" s="6" t="s">
        <v>159</v>
      </c>
      <c r="C14" s="11">
        <f>Calculos!D23</f>
        <v>1.1339999999999999</v>
      </c>
      <c r="D14" s="13" t="s">
        <v>19</v>
      </c>
      <c r="E14" s="3" t="s">
        <v>235</v>
      </c>
    </row>
    <row r="15" spans="2:5" ht="22.05" customHeight="1">
      <c r="B15" s="6" t="s">
        <v>236</v>
      </c>
      <c r="C15" s="11">
        <f>Calculos!D15</f>
        <v>464.02343999999999</v>
      </c>
      <c r="D15" s="13" t="s">
        <v>29</v>
      </c>
      <c r="E15" s="3" t="s">
        <v>237</v>
      </c>
    </row>
    <row r="16" spans="2:5" ht="22.05" customHeight="1">
      <c r="B16" s="6" t="s">
        <v>238</v>
      </c>
      <c r="C16" s="11">
        <f>Calculos!D16</f>
        <v>347.0292</v>
      </c>
      <c r="D16" s="13" t="s">
        <v>29</v>
      </c>
      <c r="E16" s="3" t="s">
        <v>239</v>
      </c>
    </row>
    <row r="17" spans="2:5" ht="22.05" customHeight="1">
      <c r="B17" s="6" t="s">
        <v>155</v>
      </c>
      <c r="C17" s="11">
        <f>Calculos!D21</f>
        <v>8.1</v>
      </c>
      <c r="D17" s="13" t="s">
        <v>36</v>
      </c>
      <c r="E17" s="3" t="s">
        <v>240</v>
      </c>
    </row>
    <row r="18" spans="2:5" ht="22.05" customHeight="1">
      <c r="B18" s="6" t="s">
        <v>190</v>
      </c>
      <c r="C18" s="11">
        <f>Protecciones!C7</f>
        <v>580.02930000000003</v>
      </c>
      <c r="D18" s="13" t="s">
        <v>29</v>
      </c>
      <c r="E18" s="3" t="s">
        <v>241</v>
      </c>
    </row>
    <row r="19" spans="2:5" ht="22.05" customHeight="1">
      <c r="B19" s="6" t="s">
        <v>242</v>
      </c>
      <c r="C19" s="11">
        <f>Protecciones!C8</f>
        <v>1.3636363636363635</v>
      </c>
      <c r="D19" s="13" t="s">
        <v>36</v>
      </c>
      <c r="E19" s="3" t="s">
        <v>241</v>
      </c>
    </row>
    <row r="20" spans="2:5" ht="22.05" customHeight="1"/>
    <row r="21" spans="2:5" ht="22.05" customHeight="1"/>
    <row r="22" spans="2:5" ht="22.05" customHeight="1">
      <c r="B22" s="35" t="s">
        <v>243</v>
      </c>
      <c r="C22" s="28"/>
      <c r="D22" s="28"/>
      <c r="E22" s="28"/>
    </row>
    <row r="23" spans="2:5" ht="22.05" customHeight="1">
      <c r="B23" s="28"/>
      <c r="C23" s="28"/>
      <c r="D23" s="28"/>
      <c r="E23" s="28"/>
    </row>
    <row r="24" spans="2:5" ht="22.05" customHeight="1">
      <c r="B24" s="28"/>
      <c r="C24" s="28"/>
      <c r="D24" s="28"/>
      <c r="E24" s="28"/>
    </row>
    <row r="25" spans="2:5" ht="22.05" customHeight="1">
      <c r="B25" s="28"/>
      <c r="C25" s="28"/>
      <c r="D25" s="28"/>
      <c r="E25" s="28"/>
    </row>
    <row r="26" spans="2:5" ht="22.05" customHeight="1">
      <c r="B26" s="28"/>
      <c r="C26" s="28"/>
      <c r="D26" s="28"/>
      <c r="E26" s="28"/>
    </row>
    <row r="27" spans="2:5" ht="22.05" customHeight="1">
      <c r="B27" s="28"/>
      <c r="C27" s="28"/>
      <c r="D27" s="28"/>
      <c r="E27" s="28"/>
    </row>
  </sheetData>
  <mergeCells count="2">
    <mergeCell ref="B22:E27"/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Portada</vt:lpstr>
      <vt:lpstr>Inputs</vt:lpstr>
      <vt:lpstr>Cargas</vt:lpstr>
      <vt:lpstr>Consumo</vt:lpstr>
      <vt:lpstr>Calculos</vt:lpstr>
      <vt:lpstr>Recurso</vt:lpstr>
      <vt:lpstr>Protecciones</vt:lpstr>
      <vt:lpstr>Conductores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Deluquez</dc:creator>
  <cp:lastModifiedBy>Carlos Deluquez</cp:lastModifiedBy>
  <dcterms:created xsi:type="dcterms:W3CDTF">2026-05-20T22:35:11Z</dcterms:created>
  <dcterms:modified xsi:type="dcterms:W3CDTF">2026-05-20T22:45:58Z</dcterms:modified>
</cp:coreProperties>
</file>